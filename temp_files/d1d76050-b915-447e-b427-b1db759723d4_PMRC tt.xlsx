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2188" windowHeight="9120" firstSheet="3" activeTab="3" tabRatio="669"/>
  </bookViews>
  <sheets>
    <sheet name="MKPR-JPVE DN MON-SUN" sheetId="1" r:id="rId1" state="hidden"/>
    <sheet name="SEQUENCE JPWD001_XXXX2025(UP)" sheetId="2" r:id="rId2" state="hidden"/>
    <sheet name="SEQUENCE JPWD001_XXXX2025(DN)" sheetId="3" r:id="rId3" state="hidden"/>
    <sheet name="TIME TABLE JPWD001_XXXX2025" sheetId="4" r:id="rId4"/>
    <sheet name="MKPR-JPVE UP OR DN" sheetId="5" r:id="rId5" state="hidden"/>
    <sheet name="MKPR-JPVE LOOP MULTI PAGE" sheetId="6" r:id="rId6" state="hidden"/>
    <sheet name="L-7 KEY NEW(JPVE)" sheetId="7" r:id="rId7" state="hidden"/>
    <sheet name="MKPR-JPVE UP MON-SUN" sheetId="8" r:id="rId8" state="hidden"/>
    <sheet name="L-7 KEY MKPR- JPVE(FINAL)" sheetId="9" r:id="rId9"/>
    <sheet name="SEQUENCE TABLE WKD &amp; SAT" sheetId="10" r:id="rId10" state="hidden"/>
    <sheet name="Sheet1" sheetId="11" r:id="rId11"/>
    <sheet name="Sheet2" sheetId="12" r:id="rId12"/>
  </sheets>
  <definedNames>
    <definedName name="_xlnm.Print_Area" localSheetId="6">'L-7 KEY NEW(JPVE)'!$A$1:$R$46</definedName>
    <definedName name="_xlnm.Print_Area" localSheetId="0">'MKPR-JPVE DN MON-SUN'!$A$1:$N$40</definedName>
    <definedName name="_xlnm.Print_Area" localSheetId="5">'MKPR-JPVE LOOP MULTI PAGE'!$A$1:$AG$11</definedName>
    <definedName name="_xlnm.Print_Titles" localSheetId="0">'MKPR-JPVE DN MON-SUN'!$A:$A</definedName>
    <definedName name="_xlnm.Print_Titles" localSheetId="5">'MKPR-JPVE LOOP MULTI PAGE'!$A:$A</definedName>
    <definedName name="_xlnm.Print_Area" localSheetId="7">'MKPR-JPVE UP MON-SUN'!$A$1:$N$42</definedName>
    <definedName name="_xlnm.Print_Titles" localSheetId="7">'MKPR-JPVE UP MON-SUN'!$A:$A</definedName>
    <definedName name="_xlnm.Print_Area" localSheetId="8">'L-7 KEY MKPR- JPVE(FINAL)'!$A$1:$L$22</definedName>
    <definedName name="_xlnm.Print_Area" localSheetId="4">'MKPR-JPVE UP OR DN'!$A$1:$N$56</definedName>
    <definedName name="_xlnm._FilterDatabase" localSheetId="9" hidden="1">'SEQUENCE TABLE WKD &amp; SAT'!$D$3:$E$123</definedName>
    <definedName name="_xlnm.Print_Titles" localSheetId="9">'SEQUENCE TABLE WKD &amp; SAT'!$1:$3</definedName>
    <definedName name="_xlnm.Print_Area" localSheetId="9">'SEQUENCE TABLE WKD &amp; SAT'!$A$1:$J$131</definedName>
    <definedName name="_xlnm.Print_Area" localSheetId="3">'TIME TABLE JPWD001_XXXX2025'!$A$1:$N$41</definedName>
    <definedName name="_xlnm._FilterDatabase" localSheetId="2" hidden="1">'SEQUENCE JPWD001_XXXX2025(DN)'!$A$5:$J$48</definedName>
    <definedName name="_xlnm.Print_Titles" localSheetId="2">'SEQUENCE JPWD001_XXXX2025(DN)'!$1:$3</definedName>
    <definedName name="_xlnm.Print_Area" localSheetId="2">'SEQUENCE JPWD001_XXXX2025(DN)'!$A$1:$J$47</definedName>
    <definedName name="_xlnm._FilterDatabase" localSheetId="1" hidden="1">'SEQUENCE JPWD001_XXXX2025(UP)'!$A$5:$J$48</definedName>
    <definedName name="_xlnm.Print_Titles" localSheetId="1">'SEQUENCE JPWD001_XXXX2025(UP)'!$1:$3</definedName>
    <definedName name="_xlnm.Print_Area" localSheetId="1">'SEQUENCE JPWD001_XXXX2025(UP)'!$A$1:$J$47</definedName>
  </definedNames>
  <calcPr calcId="191029"/>
</workbook>
</file>

<file path=xl/sharedStrings.xml><?xml version="1.0" encoding="utf-8"?>
<sst xmlns="http://schemas.openxmlformats.org/spreadsheetml/2006/main" uniqueCount="212" count="212">
  <si>
    <t>MKPR-JPVE SECTION MONDAY- SUNDAY TIME TABLE</t>
  </si>
  <si>
    <t>TRAIN NO.</t>
  </si>
  <si>
    <t>MKPR DN</t>
  </si>
  <si>
    <t>JPVE</t>
  </si>
  <si>
    <t>NON REVENUE PILOTING FROM MKPR DN TO JPVE DN@25KMPH</t>
  </si>
  <si>
    <t>JRMR</t>
  </si>
  <si>
    <t>BURI</t>
  </si>
  <si>
    <t>MKPR</t>
  </si>
  <si>
    <t>REVERSAL FROM</t>
  </si>
  <si>
    <t>TRAIN NO</t>
  </si>
  <si>
    <t>JPVE DN</t>
  </si>
  <si>
    <t>TOTAL TRIPS &amp; KMS IN TIME-TABLE</t>
  </si>
  <si>
    <t>SECTION</t>
  </si>
  <si>
    <t>KMS</t>
  </si>
  <si>
    <t>NO OF TRIPS</t>
  </si>
  <si>
    <t>TOTAL RUN KMS</t>
  </si>
  <si>
    <t>MKPR-JPVE</t>
  </si>
  <si>
    <t>JPVE-MKPR</t>
  </si>
  <si>
    <t>TOTAL</t>
  </si>
  <si>
    <t>HEADWAY</t>
  </si>
  <si>
    <t>FIRST  AND LAST TRAIN TIMINGS</t>
  </si>
  <si>
    <t>EMPTY AT MKPR DN PF THEN STABLE AT MKPR DN PF</t>
  </si>
  <si>
    <t>33 MIN 00 SEC</t>
  </si>
  <si>
    <t>FROM</t>
  </si>
  <si>
    <t>FIRST TRAIN</t>
  </si>
  <si>
    <t>LAST TRAIN</t>
  </si>
  <si>
    <t>REVERSAL TIME AT MKPR DN &amp; JPVE DN PF</t>
  </si>
  <si>
    <t>DWELL TIME AT JRMR &amp; BURI</t>
  </si>
  <si>
    <t>MUPR UP</t>
  </si>
  <si>
    <t>MKPR DN STABLE</t>
  </si>
  <si>
    <t>1 MIN 30 SECS</t>
  </si>
  <si>
    <t>40 SECS</t>
  </si>
  <si>
    <t>SVVR UP</t>
  </si>
  <si>
    <t>SEQUENCE AT JPVE/MKPR UP PLATFORMS (WEEKDAY,SATURDAY &amp; SUNDAY)</t>
  </si>
  <si>
    <t>DATE:-</t>
  </si>
  <si>
    <t>S NO.</t>
  </si>
  <si>
    <t>Train No.</t>
  </si>
  <si>
    <t>Train Set</t>
  </si>
  <si>
    <t>Depature Time</t>
  </si>
  <si>
    <t>Section/DOT</t>
  </si>
  <si>
    <t>Sr. No of authroity to proceed</t>
  </si>
  <si>
    <t>Private No details w.r.t authority to proceed</t>
  </si>
  <si>
    <t>From</t>
  </si>
  <si>
    <t>As per TT</t>
  </si>
  <si>
    <t>Actual</t>
  </si>
  <si>
    <t>08:00:00 (REVENUE PILOTING)</t>
  </si>
  <si>
    <t>occ</t>
  </si>
  <si>
    <t>20:17:45
(NON REVENUE)</t>
  </si>
  <si>
    <t>SEQUENCE AT JPVE/MKPR DN PLATFORMS (WEEKDAY,SATURDAY &amp; SUNDAY)</t>
  </si>
  <si>
    <t>20:15:30
(NON REVENUE)</t>
  </si>
  <si>
    <t>T.T VERSION</t>
  </si>
  <si>
    <t>JPWD001_XXXX2025</t>
  </si>
  <si>
    <t>STATION</t>
  </si>
  <si>
    <t>UP LINE</t>
  </si>
  <si>
    <t>DN LINE</t>
  </si>
  <si>
    <t>REVENUE PILOTING FROM JPVE UP TO MKPR UP @25KMPH</t>
  </si>
  <si>
    <t>MKPR UP</t>
  </si>
  <si>
    <t>NO.OF TRIPS</t>
  </si>
  <si>
    <t>TOTAL KM's</t>
  </si>
  <si>
    <t>17 MIN</t>
  </si>
  <si>
    <t>FIRST AND LAST TRAIN TIMINGS</t>
  </si>
  <si>
    <t>TO</t>
  </si>
  <si>
    <t>HEADWAY, DWELL TIME AND REVERSAL TIME</t>
  </si>
  <si>
    <t>34 MINS</t>
  </si>
  <si>
    <t>REVERSAL TIME AT MKPR AND JPVE</t>
  </si>
  <si>
    <t>90 SECS</t>
  </si>
  <si>
    <t>DWELL TIME AT BURI AND JRMR</t>
  </si>
  <si>
    <t>MKPR-JPVE SECTION MONDAY- SUNDAY TIME TABLE (Draft)</t>
  </si>
  <si>
    <t>REVENUE PILOTING FROM MKPR DN TO JPVE  DN @25KMPH</t>
  </si>
  <si>
    <t>JPVE UP</t>
  </si>
  <si>
    <t>STABLE AT MKPR DN PF</t>
  </si>
  <si>
    <t>STABLE AT JPVE UP PF</t>
  </si>
  <si>
    <t>JPVE DN STABLE</t>
  </si>
  <si>
    <t>LINE-7 NEW RUN TIME GIVEN BY AT</t>
  </si>
  <si>
    <t>DN LINE AS PER AT</t>
  </si>
  <si>
    <t>UP LINE AS PER AT</t>
  </si>
  <si>
    <t xml:space="preserve">
WHEEL START- WHEEL STOP TIME 
(G)</t>
  </si>
  <si>
    <t xml:space="preserve">DWELL TIME
(H) </t>
  </si>
  <si>
    <t>MKPR-SVVR</t>
  </si>
  <si>
    <t>MKPR-MUPR</t>
  </si>
  <si>
    <t>MUPR-SVVR</t>
  </si>
  <si>
    <t>PILOTING
(OLD)</t>
  </si>
  <si>
    <t>PILOTING WHEEL START-WHEEL STOP TIME BY CC
11.08.2024</t>
  </si>
  <si>
    <t>PILOTING WITH DWELL TIME</t>
  </si>
  <si>
    <t xml:space="preserve">
WHEEL START- WHEEL STOP TIME 
(WITH  RESPONSE TIME)
(A)</t>
  </si>
  <si>
    <t>SVVR-MKPR</t>
  </si>
  <si>
    <t>MUPR-MKPR</t>
  </si>
  <si>
    <t>SVVR-MUPR</t>
  </si>
  <si>
    <t>JPVE-JRMR</t>
  </si>
  <si>
    <t>MKPR-BURI</t>
  </si>
  <si>
    <t>JRMR-BURI</t>
  </si>
  <si>
    <t>BURI-JRMR</t>
  </si>
  <si>
    <t>BURI-MKPR</t>
  </si>
  <si>
    <t>JRMR-JPVE</t>
  </si>
  <si>
    <t>MKPR - AZU</t>
  </si>
  <si>
    <t>SVVR - JIEE</t>
  </si>
  <si>
    <t>AZU - SMBG</t>
  </si>
  <si>
    <t>JIEE - GKPR</t>
  </si>
  <si>
    <t>SMBG - NSHP</t>
  </si>
  <si>
    <t>GKPR - MUPR</t>
  </si>
  <si>
    <t>NSHP - SAKP</t>
  </si>
  <si>
    <t>MUPR - JFRB</t>
  </si>
  <si>
    <t>SAKP - PBGW</t>
  </si>
  <si>
    <t>JFRB - WC</t>
  </si>
  <si>
    <t>PVGW - ESIH</t>
  </si>
  <si>
    <t>WC - EANR</t>
  </si>
  <si>
    <t>ESIH - RG</t>
  </si>
  <si>
    <t>EANR - KHNA</t>
  </si>
  <si>
    <t>RG - MYPI</t>
  </si>
  <si>
    <t>KHNA - KKDC</t>
  </si>
  <si>
    <t>MYPI - NAVR</t>
  </si>
  <si>
    <t>KKDC - KKDA</t>
  </si>
  <si>
    <t>NAVR - DLIC</t>
  </si>
  <si>
    <t>KKDA - AVIT</t>
  </si>
  <si>
    <t>DLIC - DDSC</t>
  </si>
  <si>
    <t>AVIT - IPE</t>
  </si>
  <si>
    <t>DDSC - SVMB</t>
  </si>
  <si>
    <t>IPE - VNNR</t>
  </si>
  <si>
    <t>SVMB - BKCP</t>
  </si>
  <si>
    <t>VNNR - VENT</t>
  </si>
  <si>
    <t>BKCP - SOJI</t>
  </si>
  <si>
    <t>VENT - TKPR</t>
  </si>
  <si>
    <t>SOJI - INA</t>
  </si>
  <si>
    <t>TKPR-MVPO</t>
  </si>
  <si>
    <t>INA - SOEN</t>
  </si>
  <si>
    <t>MVPO- MVPI</t>
  </si>
  <si>
    <t>SOEN - LJPN</t>
  </si>
  <si>
    <t>MVPI-NZM</t>
  </si>
  <si>
    <t>LJPN-VNPR</t>
  </si>
  <si>
    <t>NZM- AHRM</t>
  </si>
  <si>
    <t>VNPR-AHRM</t>
  </si>
  <si>
    <t>ASHM-VNPR</t>
  </si>
  <si>
    <t>ASHM-NZM</t>
  </si>
  <si>
    <t>VNPR - LJPN</t>
  </si>
  <si>
    <t>NZM-MVPI</t>
  </si>
  <si>
    <t>LJPN - SOEN</t>
  </si>
  <si>
    <t>MVPI-MVPO</t>
  </si>
  <si>
    <t>SOEN - INA</t>
  </si>
  <si>
    <t>MVPO-TKPR</t>
  </si>
  <si>
    <t>INA - SOJI</t>
  </si>
  <si>
    <t>TKPR - VENT</t>
  </si>
  <si>
    <t>SOJI - BKCP</t>
  </si>
  <si>
    <t>VENT - VNNR</t>
  </si>
  <si>
    <t>BKCP - SVMB</t>
  </si>
  <si>
    <t>VNNR - IPE</t>
  </si>
  <si>
    <t>SVMB - DDSC</t>
  </si>
  <si>
    <t>IPE - AVIT</t>
  </si>
  <si>
    <t>DDSC - DLIC</t>
  </si>
  <si>
    <t>AVIT - KKDA</t>
  </si>
  <si>
    <t>DLIC - NAVR</t>
  </si>
  <si>
    <t>KKDA - KKDC</t>
  </si>
  <si>
    <t>NAVR - MYPI</t>
  </si>
  <si>
    <t>KKDC - KHNA</t>
  </si>
  <si>
    <t>MYPI - RG</t>
  </si>
  <si>
    <t>KHNA - EANR</t>
  </si>
  <si>
    <t>RG - ESIH</t>
  </si>
  <si>
    <t>EANR - WC</t>
  </si>
  <si>
    <t>ESIH - PVGW</t>
  </si>
  <si>
    <t>WC - JFRB</t>
  </si>
  <si>
    <t>PVGW - SAKP</t>
  </si>
  <si>
    <t>JFRB - MUPR</t>
  </si>
  <si>
    <t>SAKP - NSHP</t>
  </si>
  <si>
    <t>MUPR - GKPR</t>
  </si>
  <si>
    <t>NSHP - SMBG</t>
  </si>
  <si>
    <t>GKPR - JIEE</t>
  </si>
  <si>
    <t>SMBG - AZU</t>
  </si>
  <si>
    <t>JIEE - SVVR</t>
  </si>
  <si>
    <t>AZU - MKPR</t>
  </si>
  <si>
    <t>NON REVENUE PILOTING FROM MKPR UP TO JPVE  UP @25KMPH</t>
  </si>
  <si>
    <t>TOTAL RUN TIME (JPVE-MKPR)</t>
  </si>
  <si>
    <t>SEQUENCE AT MKPR/JPVE UP/DN PLATFORMS (WEEKDAY &amp; SATURDAY)</t>
  </si>
  <si>
    <t>OCC</t>
  </si>
  <si>
    <t>MKPR DN -JPVE DN</t>
  </si>
  <si>
    <t>JPVE UP - MKPR UP</t>
  </si>
  <si>
    <t>MKPR UP - JPVE UP</t>
  </si>
  <si>
    <t>JPVE DN -MKPR DN</t>
  </si>
  <si>
    <t>NEW ISBT</t>
  </si>
  <si>
    <t>ZERO MILE</t>
  </si>
  <si>
    <t>BHOOTNATH</t>
  </si>
  <si>
    <t>@18kmph</t>
  </si>
  <si>
    <t>00:04:24</t>
  </si>
  <si>
    <t>00:04:44</t>
  </si>
  <si>
    <t>@20kmph</t>
  </si>
  <si>
    <t>PPBT-ZEML</t>
  </si>
  <si>
    <t>ZEML-BHOO</t>
  </si>
  <si>
    <t>BHOO-ZEML</t>
  </si>
  <si>
    <t>ZEML-PPBT</t>
  </si>
  <si>
    <t>PPBT</t>
  </si>
  <si>
    <t>ZEML</t>
  </si>
  <si>
    <t xml:space="preserve">BHOOTNATH </t>
  </si>
  <si>
    <t>+</t>
  </si>
  <si>
    <t>Bhootnath DN</t>
  </si>
  <si>
    <t>PATLIPUTRA-BHOOTNATH SECTION ALL DAY TIME TABLE</t>
  </si>
  <si>
    <t>DN DOT</t>
  </si>
  <si>
    <t>UP DOT</t>
  </si>
  <si>
    <t>Patliputra DN</t>
  </si>
  <si>
    <t>L2_001_XXXX2025</t>
  </si>
  <si>
    <t>PPBT-BHOOTNAH</t>
  </si>
  <si>
    <t>PPBT-BHOOTNATH</t>
  </si>
  <si>
    <t>BHOOTNATH -PPBT</t>
  </si>
  <si>
    <t>PPBT-BHOOT</t>
  </si>
  <si>
    <t>BHOOT -PPBT</t>
  </si>
  <si>
    <t>BHOOT</t>
  </si>
  <si>
    <t>30 MINS</t>
  </si>
  <si>
    <t>5 MIN 08 SEC</t>
  </si>
  <si>
    <t>REVERSAL TIME AT PPBT</t>
  </si>
  <si>
    <t xml:space="preserve">REVERSAL TIME AT PPBT AND BHOONATH </t>
  </si>
  <si>
    <t>DWELL TIME AT ZERO MILE</t>
  </si>
  <si>
    <t>40 SEC</t>
  </si>
  <si>
    <t>Patliputra</t>
  </si>
  <si>
    <t xml:space="preserve">PATLIPUTRA </t>
  </si>
  <si>
    <t>Piloting from Patliputra DN to Bhoonath DN with speed limit of 10 Kmph</t>
  </si>
</sst>
</file>

<file path=xl/styles.xml><?xml version="1.0" encoding="utf-8"?>
<styleSheet xmlns="http://schemas.openxmlformats.org/spreadsheetml/2006/main">
  <numFmts count="5">
    <numFmt numFmtId="0" formatCode="General"/>
    <numFmt numFmtId="21" formatCode="h:mm:ss"/>
    <numFmt numFmtId="164" formatCode="[$-14009]hh:mm:ss;@"/>
    <numFmt numFmtId="46" formatCode="[h]:mm:ss"/>
    <numFmt numFmtId="20" formatCode="h:mm"/>
  </numFmts>
  <fonts count="34">
    <font>
      <name val="Calibri"/>
      <sz val="11"/>
    </font>
    <font>
      <name val="Calibri"/>
      <b/>
      <charset val="134"/>
      <sz val="10"/>
      <color rgb="FF000000"/>
    </font>
    <font>
      <name val="Calibri"/>
      <charset val="134"/>
      <sz val="10"/>
    </font>
    <font>
      <name val="Calibri"/>
      <charset val="134"/>
      <sz val="10"/>
      <color rgb="FF000000"/>
    </font>
    <font>
      <name val="Calibri"/>
      <b/>
      <charset val="134"/>
      <sz val="16"/>
      <color rgb="FF000000"/>
    </font>
    <font>
      <name val="Calibri"/>
      <b/>
      <charset val="134"/>
      <sz val="13"/>
      <color rgb="FF000000"/>
    </font>
    <font>
      <name val="Calibri"/>
      <b/>
      <charset val="134"/>
      <sz val="16"/>
    </font>
    <font>
      <name val="Calibri"/>
      <b/>
      <charset val="134"/>
      <sz val="14"/>
    </font>
    <font>
      <name val="Calibri"/>
      <b/>
      <charset val="134"/>
      <sz val="10"/>
    </font>
    <font>
      <name val="Calibri"/>
      <b/>
      <charset val="134"/>
      <sz val="12"/>
      <color rgb="FF000000"/>
    </font>
    <font>
      <name val="Calibri"/>
      <b/>
      <charset val="134"/>
      <sz val="12"/>
    </font>
    <font>
      <name val="Calibri"/>
      <b/>
      <charset val="134"/>
      <sz val="8"/>
    </font>
    <font>
      <name val="Calibri"/>
      <b/>
      <strike/>
      <charset val="134"/>
      <sz val="12"/>
      <color rgb="FFFF0000"/>
    </font>
    <font>
      <name val="Calibri"/>
      <b/>
      <charset val="134"/>
      <sz val="11"/>
    </font>
    <font>
      <name val="Calibri"/>
      <b/>
      <charset val="134"/>
      <sz val="11"/>
      <color rgb="FF000000"/>
    </font>
    <font>
      <name val="Calibri"/>
      <b/>
      <charset val="134"/>
      <sz val="9"/>
    </font>
    <font>
      <name val="Century Gothic"/>
      <charset val="134"/>
      <sz val="11"/>
      <color rgb="FF000000"/>
    </font>
    <font>
      <name val="Century Gothic"/>
      <b/>
      <charset val="134"/>
      <sz val="14"/>
      <color rgb="FF000000"/>
    </font>
    <font>
      <name val="Century Gothic"/>
      <b/>
      <charset val="134"/>
      <sz val="16"/>
      <color rgb="FF000000"/>
    </font>
    <font>
      <name val="Century Gothic"/>
      <b/>
      <charset val="134"/>
      <sz val="12"/>
      <color rgb="FF000000"/>
    </font>
    <font>
      <name val="Century Gothic"/>
      <charset val="134"/>
      <sz val="9"/>
      <color rgb="FF000000"/>
    </font>
    <font>
      <name val="Century Gothic"/>
      <b/>
      <charset val="134"/>
      <sz val="11"/>
      <color rgb="FF000000"/>
    </font>
    <font>
      <name val="Calibri"/>
      <charset val="134"/>
      <sz val="11"/>
      <color rgb="FF000000"/>
    </font>
    <font>
      <name val="Calibri"/>
      <b/>
      <charset val="134"/>
      <sz val="14"/>
      <color rgb="FF000000"/>
    </font>
    <font>
      <name val="Calibri"/>
      <b/>
      <charset val="134"/>
      <sz val="12"/>
      <color rgb="FFFF0000"/>
    </font>
    <font>
      <name val="Calibri"/>
      <b/>
      <sz val="11"/>
    </font>
    <font>
      <name val="Calibri"/>
      <b/>
      <strike/>
      <charset val="134"/>
      <sz val="12"/>
    </font>
    <font>
      <name val="Calibri"/>
      <b/>
      <charset val="134"/>
      <sz val="36"/>
      <color rgb="FF000000"/>
    </font>
    <font>
      <name val="Calibri"/>
      <b/>
      <charset val="134"/>
      <sz val="26"/>
      <color rgb="FF000000"/>
    </font>
    <font>
      <name val="Calibri"/>
      <b/>
      <charset val="134"/>
      <sz val="11"/>
      <color rgb="FFFF0000"/>
    </font>
    <font>
      <name val="Calibri"/>
      <charset val="134"/>
      <sz val="20"/>
      <color rgb="FF000000"/>
    </font>
    <font>
      <name val="Calibri"/>
      <b/>
      <charset val="134"/>
      <sz val="18"/>
      <color rgb="FF000000"/>
    </font>
    <font>
      <name val="Calibri"/>
      <b/>
      <charset val="134"/>
      <sz val="20"/>
      <color rgb="FF000000"/>
    </font>
    <font>
      <name val="Arial"/>
      <charset val="134"/>
      <sz val="10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</patternFill>
    </fill>
    <fill>
      <patternFill patternType="solid">
        <fgColor rgb="FFB7DDE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568FD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E5DFEC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3" fillId="0" borderId="0">
      <alignment vertical="bottom"/>
      <protection locked="0" hidden="0"/>
    </xf>
  </cellStyleXfs>
  <cellXfs count="34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  <protection locked="0" hidden="0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21" fontId="7" fillId="0" borderId="8" xfId="0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21" fontId="11" fillId="0" borderId="5" xfId="0" applyNumberFormat="1" applyFont="1" applyFill="1" applyBorder="1" applyAlignment="1">
      <alignment horizontal="center" vertical="center" wrapText="1"/>
    </xf>
    <xf numFmtId="21" fontId="12" fillId="0" borderId="6" xfId="0" applyNumberFormat="1" applyFont="1" applyFill="1" applyBorder="1" applyAlignment="1">
      <alignment horizontal="center" vertical="center" wrapText="1"/>
    </xf>
    <xf numFmtId="21" fontId="10" fillId="0" borderId="11" xfId="0" applyNumberFormat="1" applyFont="1" applyFill="1" applyBorder="1" applyAlignment="1">
      <alignment horizontal="center" vertical="center" wrapText="1"/>
    </xf>
    <xf numFmtId="21" fontId="10" fillId="0" borderId="13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21" fontId="10" fillId="0" borderId="6" xfId="0" applyNumberFormat="1" applyFont="1" applyFill="1" applyBorder="1" applyAlignment="1">
      <alignment horizontal="center" vertical="center" wrapText="1"/>
    </xf>
    <xf numFmtId="21" fontId="10" fillId="0" borderId="7" xfId="0" applyNumberFormat="1" applyFont="1" applyFill="1" applyBorder="1" applyAlignment="1">
      <alignment horizontal="center" vertical="center" wrapText="1"/>
    </xf>
    <xf numFmtId="21" fontId="10" fillId="0" borderId="14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21" fontId="10" fillId="5" borderId="6" xfId="0" applyNumberFormat="1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21" fontId="10" fillId="5" borderId="11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  <protection locked="0" hidden="0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10" fillId="7" borderId="23" xfId="1" applyFont="1" applyFill="1" applyBorder="1" applyAlignment="1">
      <alignment horizontal="center" vertical="center" wrapText="1"/>
    </xf>
    <xf numFmtId="0" fontId="10" fillId="7" borderId="24" xfId="1" applyFont="1" applyFill="1" applyBorder="1" applyAlignment="1">
      <alignment horizontal="center" vertical="center" wrapText="1"/>
    </xf>
    <xf numFmtId="0" fontId="10" fillId="7" borderId="25" xfId="1" applyFont="1" applyFill="1" applyBorder="1" applyAlignment="1">
      <alignment horizontal="center" vertical="center" wrapText="1"/>
    </xf>
    <xf numFmtId="21" fontId="10" fillId="0" borderId="26" xfId="0" applyNumberFormat="1" applyFont="1" applyFill="1" applyBorder="1" applyAlignment="1">
      <alignment horizontal="center" vertical="center" wrapText="1"/>
    </xf>
    <xf numFmtId="21" fontId="10" fillId="0" borderId="0" xfId="0" applyNumberFormat="1" applyFont="1" applyFill="1" applyBorder="1" applyAlignment="1">
      <alignment horizontal="center" vertical="center" wrapText="1"/>
    </xf>
    <xf numFmtId="21" fontId="10" fillId="0" borderId="27" xfId="0" applyNumberFormat="1" applyFont="1" applyFill="1" applyBorder="1" applyAlignment="1">
      <alignment horizontal="center" vertical="center" wrapText="1"/>
    </xf>
    <xf numFmtId="21" fontId="10" fillId="2" borderId="4" xfId="1" applyNumberFormat="1" applyFont="1" applyFill="1" applyBorder="1" applyAlignment="1">
      <alignment horizontal="center" vertical="center"/>
    </xf>
    <xf numFmtId="21" fontId="10" fillId="2" borderId="6" xfId="1" applyNumberFormat="1" applyFont="1" applyFill="1" applyBorder="1" applyAlignment="1">
      <alignment horizontal="center" vertical="center"/>
    </xf>
    <xf numFmtId="21" fontId="10" fillId="2" borderId="6" xfId="1" applyNumberFormat="1" applyFont="1" applyFill="1" applyBorder="1" applyAlignment="1">
      <alignment horizontal="center" vertical="center" wrapText="1"/>
    </xf>
    <xf numFmtId="21" fontId="10" fillId="2" borderId="7" xfId="1" applyNumberFormat="1" applyFont="1" applyFill="1" applyBorder="1" applyAlignment="1">
      <alignment horizontal="center" vertical="center" wrapText="1"/>
    </xf>
    <xf numFmtId="21" fontId="10" fillId="2" borderId="28" xfId="1" applyNumberFormat="1" applyFont="1" applyFill="1" applyBorder="1" applyAlignment="1">
      <alignment horizontal="center" vertical="center"/>
    </xf>
    <xf numFmtId="21" fontId="10" fillId="2" borderId="11" xfId="1" applyNumberFormat="1" applyFont="1" applyFill="1" applyBorder="1" applyAlignment="1">
      <alignment horizontal="center" vertical="center"/>
    </xf>
    <xf numFmtId="21" fontId="10" fillId="2" borderId="11" xfId="1" applyNumberFormat="1" applyFont="1" applyFill="1" applyBorder="1" applyAlignment="1">
      <alignment horizontal="center" vertical="center" wrapText="1"/>
    </xf>
    <xf numFmtId="21" fontId="10" fillId="2" borderId="13" xfId="1" applyNumberFormat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10" fillId="0" borderId="30" xfId="1" applyFont="1" applyFill="1" applyBorder="1" applyAlignment="1">
      <alignment horizontal="center" vertical="center" wrapText="1"/>
    </xf>
    <xf numFmtId="0" fontId="10" fillId="0" borderId="31" xfId="1" applyFont="1" applyFill="1" applyBorder="1" applyAlignment="1">
      <alignment horizontal="center" vertical="center" wrapText="1"/>
    </xf>
    <xf numFmtId="21" fontId="10" fillId="7" borderId="32" xfId="0" applyNumberFormat="1" applyFont="1" applyFill="1" applyBorder="1" applyAlignment="1">
      <alignment horizontal="center" vertical="center" wrapText="1"/>
    </xf>
    <xf numFmtId="21" fontId="10" fillId="7" borderId="33" xfId="0" applyNumberFormat="1" applyFont="1" applyFill="1" applyBorder="1" applyAlignment="1">
      <alignment horizontal="center" vertical="center" wrapText="1"/>
    </xf>
    <xf numFmtId="21" fontId="10" fillId="7" borderId="34" xfId="0" applyNumberFormat="1" applyFont="1" applyFill="1" applyBorder="1" applyAlignment="1">
      <alignment horizontal="center" vertical="center" wrapText="1"/>
    </xf>
    <xf numFmtId="0" fontId="10" fillId="7" borderId="35" xfId="1" applyFont="1" applyFill="1" applyBorder="1" applyAlignment="1">
      <alignment horizontal="center" vertical="center" wrapText="1"/>
    </xf>
    <xf numFmtId="0" fontId="10" fillId="7" borderId="36" xfId="1" applyFont="1" applyFill="1" applyBorder="1" applyAlignment="1">
      <alignment horizontal="center" vertical="center" wrapText="1"/>
    </xf>
    <xf numFmtId="0" fontId="10" fillId="7" borderId="37" xfId="1" applyFont="1" applyFill="1" applyBorder="1" applyAlignment="1">
      <alignment horizontal="center" vertical="center" wrapText="1"/>
    </xf>
    <xf numFmtId="21" fontId="15" fillId="0" borderId="38" xfId="0" applyNumberFormat="1" applyFont="1" applyFill="1" applyBorder="1" applyAlignment="1">
      <alignment horizontal="center" vertical="center" wrapText="1"/>
    </xf>
    <xf numFmtId="21" fontId="10" fillId="7" borderId="8" xfId="0" applyNumberFormat="1" applyFont="1" applyFill="1" applyBorder="1" applyAlignment="1">
      <alignment horizontal="center" vertical="center" wrapText="1"/>
    </xf>
    <xf numFmtId="21" fontId="10" fillId="7" borderId="39" xfId="0" applyNumberFormat="1" applyFont="1" applyFill="1" applyBorder="1" applyAlignment="1">
      <alignment horizontal="center" vertical="center" wrapText="1"/>
    </xf>
    <xf numFmtId="21" fontId="10" fillId="7" borderId="40" xfId="0" applyNumberFormat="1" applyFont="1" applyFill="1" applyBorder="1" applyAlignment="1">
      <alignment horizontal="center" vertical="center" wrapText="1"/>
    </xf>
    <xf numFmtId="21" fontId="10" fillId="7" borderId="19" xfId="0" applyNumberFormat="1" applyFont="1" applyFill="1" applyBorder="1" applyAlignment="1">
      <alignment horizontal="center" vertical="center" wrapText="1"/>
    </xf>
    <xf numFmtId="21" fontId="10" fillId="7" borderId="20" xfId="0" applyNumberFormat="1" applyFont="1" applyFill="1" applyBorder="1" applyAlignment="1">
      <alignment horizontal="center" vertical="center" wrapText="1"/>
    </xf>
    <xf numFmtId="21" fontId="10" fillId="7" borderId="21" xfId="0" applyNumberFormat="1" applyFont="1" applyFill="1" applyBorder="1" applyAlignment="1">
      <alignment horizontal="center" vertical="center" wrapText="1"/>
    </xf>
    <xf numFmtId="21" fontId="10" fillId="0" borderId="41" xfId="0" applyNumberFormat="1" applyFont="1" applyFill="1" applyBorder="1" applyAlignment="1">
      <alignment horizontal="center" vertical="center" wrapText="1"/>
    </xf>
    <xf numFmtId="21" fontId="10" fillId="0" borderId="42" xfId="0" applyNumberFormat="1" applyFont="1" applyFill="1" applyBorder="1" applyAlignment="1">
      <alignment horizontal="center" vertical="center" wrapText="1"/>
    </xf>
    <xf numFmtId="21" fontId="10" fillId="0" borderId="43" xfId="0" applyNumberFormat="1" applyFont="1" applyFill="1" applyBorder="1" applyAlignment="1">
      <alignment horizontal="center" vertical="center" wrapText="1"/>
    </xf>
    <xf numFmtId="21" fontId="10" fillId="0" borderId="28" xfId="0" applyNumberFormat="1" applyFont="1" applyFill="1" applyBorder="1" applyAlignment="1">
      <alignment vertical="center" wrapText="1"/>
    </xf>
    <xf numFmtId="21" fontId="10" fillId="0" borderId="11" xfId="0" applyNumberFormat="1" applyFont="1" applyFill="1" applyBorder="1" applyAlignment="1">
      <alignment vertical="center" wrapText="1"/>
    </xf>
    <xf numFmtId="21" fontId="10" fillId="0" borderId="4" xfId="0" applyNumberFormat="1" applyFont="1" applyFill="1" applyBorder="1" applyAlignment="1">
      <alignment horizontal="center" vertical="center" wrapText="1"/>
    </xf>
    <xf numFmtId="21" fontId="15" fillId="0" borderId="44" xfId="0" applyNumberFormat="1" applyFont="1" applyFill="1" applyBorder="1" applyAlignment="1">
      <alignment horizontal="center" vertical="center" wrapText="1"/>
    </xf>
    <xf numFmtId="21" fontId="15" fillId="7" borderId="19" xfId="0" applyNumberFormat="1" applyFont="1" applyFill="1" applyBorder="1" applyAlignment="1">
      <alignment horizontal="center" vertical="center" wrapText="1"/>
    </xf>
    <xf numFmtId="21" fontId="15" fillId="7" borderId="20" xfId="0" applyNumberFormat="1" applyFont="1" applyFill="1" applyBorder="1" applyAlignment="1">
      <alignment horizontal="center" vertical="center" wrapText="1"/>
    </xf>
    <xf numFmtId="21" fontId="15" fillId="7" borderId="21" xfId="0" applyNumberFormat="1" applyFont="1" applyFill="1" applyBorder="1" applyAlignment="1">
      <alignment horizontal="center" vertical="center" wrapText="1"/>
    </xf>
    <xf numFmtId="21" fontId="10" fillId="0" borderId="10" xfId="0" applyNumberFormat="1" applyFont="1" applyFill="1" applyBorder="1" applyAlignment="1">
      <alignment vertical="center" wrapText="1"/>
    </xf>
    <xf numFmtId="21" fontId="15" fillId="7" borderId="28" xfId="0" applyNumberFormat="1" applyFont="1" applyFill="1" applyBorder="1" applyAlignment="1">
      <alignment horizontal="center" vertical="center" wrapText="1"/>
    </xf>
    <xf numFmtId="21" fontId="15" fillId="7" borderId="11" xfId="0" applyNumberFormat="1" applyFont="1" applyFill="1" applyBorder="1" applyAlignment="1">
      <alignment horizontal="center" vertical="center" wrapText="1"/>
    </xf>
    <xf numFmtId="21" fontId="15" fillId="7" borderId="13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21" fontId="10" fillId="0" borderId="29" xfId="0" applyNumberFormat="1" applyFont="1" applyFill="1" applyBorder="1" applyAlignment="1">
      <alignment horizontal="center" vertical="center" wrapText="1"/>
    </xf>
    <xf numFmtId="21" fontId="10" fillId="0" borderId="30" xfId="0" applyNumberFormat="1" applyFont="1" applyFill="1" applyBorder="1" applyAlignment="1">
      <alignment horizontal="center" vertical="center" wrapText="1"/>
    </xf>
    <xf numFmtId="21" fontId="9" fillId="0" borderId="30" xfId="0" applyNumberFormat="1" applyFont="1" applyFill="1" applyBorder="1" applyAlignment="1">
      <alignment horizontal="center" vertical="center"/>
    </xf>
    <xf numFmtId="21" fontId="9" fillId="0" borderId="31" xfId="0" applyNumberFormat="1" applyFont="1" applyFill="1" applyBorder="1" applyAlignment="1">
      <alignment horizontal="center" vertical="center"/>
    </xf>
    <xf numFmtId="21" fontId="10" fillId="0" borderId="45" xfId="0" applyNumberFormat="1" applyFont="1" applyFill="1" applyBorder="1" applyAlignment="1">
      <alignment vertical="center" wrapText="1"/>
    </xf>
    <xf numFmtId="21" fontId="10" fillId="0" borderId="30" xfId="0" applyNumberFormat="1" applyFont="1" applyFill="1" applyBorder="1" applyAlignment="1">
      <alignment vertical="center" wrapText="1"/>
    </xf>
    <xf numFmtId="21" fontId="10" fillId="0" borderId="31" xfId="0" applyNumberFormat="1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46" xfId="0" applyFont="1" applyFill="1" applyBorder="1" applyAlignment="1">
      <alignment horizontal="center" vertical="center"/>
    </xf>
    <xf numFmtId="0" fontId="17" fillId="0" borderId="39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8" fillId="0" borderId="46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 wrapText="1"/>
    </xf>
    <xf numFmtId="0" fontId="19" fillId="0" borderId="48" xfId="0" applyFont="1" applyFill="1" applyBorder="1" applyAlignment="1">
      <alignment horizontal="center" vertical="center" wrapText="1"/>
    </xf>
    <xf numFmtId="0" fontId="19" fillId="0" borderId="49" xfId="0" applyFont="1" applyFill="1" applyBorder="1" applyAlignment="1">
      <alignment horizontal="center" vertical="center" wrapText="1"/>
    </xf>
    <xf numFmtId="0" fontId="19" fillId="0" borderId="50" xfId="0" applyFont="1" applyFill="1" applyBorder="1" applyAlignment="1">
      <alignment horizontal="center" vertical="center" wrapText="1"/>
    </xf>
    <xf numFmtId="21" fontId="20" fillId="5" borderId="11" xfId="0" applyNumberFormat="1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16" fillId="8" borderId="11" xfId="0" applyFont="1" applyFill="1" applyBorder="1" applyAlignment="1">
      <alignment horizontal="center" vertical="center"/>
    </xf>
    <xf numFmtId="21" fontId="16" fillId="8" borderId="11" xfId="0" applyNumberFormat="1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left" vertical="center"/>
    </xf>
    <xf numFmtId="21" fontId="16" fillId="0" borderId="11" xfId="0" applyNumberFormat="1" applyFont="1" applyFill="1" applyBorder="1" applyAlignment="1">
      <alignment horizontal="center" vertical="center"/>
    </xf>
    <xf numFmtId="21" fontId="16" fillId="8" borderId="11" xfId="0" applyNumberFormat="1" applyFont="1" applyFill="1" applyBorder="1" applyAlignment="1">
      <alignment horizontal="center" vertical="center" wrapText="1"/>
    </xf>
    <xf numFmtId="21" fontId="16" fillId="0" borderId="11" xfId="0" applyNumberFormat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9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22" fillId="0" borderId="2" xfId="0" applyBorder="1" applyAlignment="1">
      <alignment vertical="bottom"/>
    </xf>
    <xf numFmtId="0" fontId="5" fillId="2" borderId="23" xfId="0" applyFont="1" applyFill="1" applyBorder="1" applyAlignment="1">
      <alignment horizontal="center" vertical="center"/>
      <protection locked="0" hidden="0"/>
    </xf>
    <xf numFmtId="0" fontId="6" fillId="0" borderId="2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21" fontId="23" fillId="0" borderId="12" xfId="0" applyNumberFormat="1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21" fontId="9" fillId="10" borderId="6" xfId="0" applyNumberFormat="1" applyFont="1" applyFill="1" applyBorder="1" applyAlignment="1">
      <alignment horizontal="center" vertical="center" wrapText="1"/>
    </xf>
    <xf numFmtId="21" fontId="24" fillId="0" borderId="6" xfId="0" applyNumberFormat="1" applyFont="1" applyFill="1" applyBorder="1" applyAlignment="1">
      <alignment horizontal="center" vertical="center" wrapText="1"/>
    </xf>
    <xf numFmtId="21" fontId="10" fillId="0" borderId="0" xfId="0" applyNumberFormat="1" applyFont="1" applyFill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22" fillId="0" borderId="17" xfId="0" applyBorder="1" applyAlignment="1">
      <alignment horizontal="center" vertical="bottom"/>
    </xf>
    <xf numFmtId="0" fontId="22" fillId="0" borderId="15" xfId="0" applyBorder="1" applyAlignment="1">
      <alignment horizontal="center" vertical="bottom"/>
    </xf>
    <xf numFmtId="0" fontId="22" fillId="0" borderId="22" xfId="0" applyBorder="1" applyAlignment="1">
      <alignment horizontal="center" vertical="bottom"/>
    </xf>
    <xf numFmtId="0" fontId="22" fillId="0" borderId="0" xfId="0" applyAlignment="1">
      <alignment vertical="bottom"/>
    </xf>
    <xf numFmtId="0" fontId="22" fillId="0" borderId="17" xfId="0" applyFill="1" applyBorder="1" applyAlignment="1">
      <alignment horizontal="center" vertical="bottom"/>
    </xf>
    <xf numFmtId="0" fontId="22" fillId="0" borderId="15" xfId="0" applyFill="1" applyBorder="1" applyAlignment="1">
      <alignment horizontal="center" vertical="bottom"/>
    </xf>
    <xf numFmtId="0" fontId="22" fillId="0" borderId="22" xfId="0" applyFill="1" applyBorder="1" applyAlignment="1">
      <alignment horizontal="center" vertical="bottom"/>
    </xf>
    <xf numFmtId="0" fontId="23" fillId="7" borderId="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2" fillId="0" borderId="11" xfId="0" applyBorder="1" applyAlignment="1">
      <alignment vertical="bottom"/>
    </xf>
    <xf numFmtId="0" fontId="22" fillId="0" borderId="26" xfId="0" applyFill="1" applyBorder="1" applyAlignment="1">
      <alignment horizontal="center" vertical="bottom"/>
    </xf>
    <xf numFmtId="0" fontId="22" fillId="0" borderId="0" xfId="0" applyFill="1" applyAlignment="1">
      <alignment horizontal="center" vertical="bottom"/>
    </xf>
    <xf numFmtId="0" fontId="22" fillId="0" borderId="27" xfId="0" applyFill="1" applyBorder="1" applyAlignment="1">
      <alignment horizontal="center" vertical="bottom"/>
    </xf>
    <xf numFmtId="0" fontId="9" fillId="7" borderId="50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22" fillId="12" borderId="10" xfId="0" applyFill="1" applyBorder="1" applyAlignment="1">
      <alignment horizontal="center" vertical="center"/>
    </xf>
    <xf numFmtId="0" fontId="22" fillId="12" borderId="11" xfId="0" applyFill="1" applyBorder="1" applyAlignment="1">
      <alignment horizontal="center" vertical="center"/>
    </xf>
    <xf numFmtId="21" fontId="10" fillId="7" borderId="11" xfId="0" applyNumberFormat="1" applyFont="1" applyFill="1" applyBorder="1" applyAlignment="1">
      <alignment horizontal="center" vertical="center" wrapText="1"/>
    </xf>
    <xf numFmtId="0" fontId="22" fillId="2" borderId="11" xfId="0" applyFill="1" applyBorder="1" applyAlignment="1">
      <alignment horizontal="center" vertical="center"/>
    </xf>
    <xf numFmtId="0" fontId="22" fillId="0" borderId="26" xfId="0" applyFill="1" applyBorder="1" applyAlignment="1">
      <alignment horizontal="center" vertical="bottom"/>
    </xf>
    <xf numFmtId="0" fontId="22" fillId="0" borderId="0" xfId="0" applyFill="1" applyAlignment="1">
      <alignment horizontal="center" vertical="bottom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2" fillId="12" borderId="52" xfId="0" applyFill="1" applyBorder="1" applyAlignment="1">
      <alignment horizontal="center" vertical="center"/>
    </xf>
    <xf numFmtId="21" fontId="10" fillId="7" borderId="52" xfId="0" applyNumberFormat="1" applyFont="1" applyFill="1" applyBorder="1" applyAlignment="1">
      <alignment horizontal="center" vertical="center" wrapText="1"/>
    </xf>
    <xf numFmtId="21" fontId="10" fillId="7" borderId="53" xfId="0" applyNumberFormat="1" applyFont="1" applyFill="1" applyBorder="1" applyAlignment="1">
      <alignment horizontal="center" vertical="center" wrapText="1"/>
    </xf>
    <xf numFmtId="0" fontId="22" fillId="2" borderId="0" xfId="0" applyFill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2" fillId="2" borderId="54" xfId="0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top"/>
    </xf>
    <xf numFmtId="21" fontId="15" fillId="7" borderId="50" xfId="0" applyNumberFormat="1" applyFont="1" applyFill="1" applyBorder="1" applyAlignment="1">
      <alignment vertical="center" wrapText="1"/>
    </xf>
    <xf numFmtId="21" fontId="15" fillId="7" borderId="55" xfId="0" applyNumberFormat="1" applyFont="1" applyFill="1" applyBorder="1" applyAlignment="1">
      <alignment vertical="center" wrapText="1"/>
    </xf>
    <xf numFmtId="21" fontId="15" fillId="7" borderId="20" xfId="0" applyNumberFormat="1" applyFont="1" applyFill="1" applyBorder="1" applyAlignment="1">
      <alignment vertical="center" wrapText="1"/>
    </xf>
    <xf numFmtId="21" fontId="15" fillId="7" borderId="21" xfId="0" applyNumberFormat="1" applyFont="1" applyFill="1" applyBorder="1" applyAlignment="1">
      <alignment vertical="center" wrapText="1"/>
    </xf>
    <xf numFmtId="21" fontId="15" fillId="7" borderId="10" xfId="0" applyNumberFormat="1" applyFont="1" applyFill="1" applyBorder="1" applyAlignment="1">
      <alignment vertical="center" wrapText="1"/>
    </xf>
    <xf numFmtId="21" fontId="15" fillId="7" borderId="11" xfId="0" applyNumberFormat="1" applyFont="1" applyFill="1" applyBorder="1" applyAlignment="1">
      <alignment vertical="center" wrapText="1"/>
    </xf>
    <xf numFmtId="21" fontId="15" fillId="7" borderId="13" xfId="0" applyNumberFormat="1" applyFont="1" applyFill="1" applyBorder="1" applyAlignment="1">
      <alignment vertical="center" wrapText="1"/>
    </xf>
    <xf numFmtId="21" fontId="15" fillId="7" borderId="48" xfId="0" applyNumberFormat="1" applyFont="1" applyFill="1" applyBorder="1" applyAlignment="1">
      <alignment vertical="center" wrapText="1"/>
    </xf>
    <xf numFmtId="21" fontId="9" fillId="0" borderId="30" xfId="0" applyNumberFormat="1" applyFont="1" applyFill="1" applyBorder="1">
      <alignment vertical="center"/>
    </xf>
    <xf numFmtId="21" fontId="9" fillId="0" borderId="31" xfId="0" applyNumberFormat="1" applyFont="1" applyFill="1" applyBorder="1">
      <alignment vertical="center"/>
    </xf>
    <xf numFmtId="21" fontId="9" fillId="0" borderId="0" xfId="0" applyNumberFormat="1" applyFont="1" applyFill="1">
      <alignment vertical="center"/>
    </xf>
    <xf numFmtId="0" fontId="23" fillId="7" borderId="3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9" borderId="11" xfId="0" applyNumberFormat="1" applyFont="1" applyFill="1" applyBorder="1" applyAlignment="1">
      <alignment horizontal="center" vertical="center" wrapText="1"/>
    </xf>
    <xf numFmtId="0" fontId="22" fillId="0" borderId="56" xfId="0" applyFill="1" applyBorder="1" applyAlignment="1">
      <alignment horizontal="center" vertical="bottom"/>
    </xf>
    <xf numFmtId="0" fontId="22" fillId="0" borderId="16" xfId="0" applyFill="1" applyBorder="1" applyAlignment="1">
      <alignment horizontal="center" vertical="bottom"/>
    </xf>
    <xf numFmtId="0" fontId="22" fillId="0" borderId="16" xfId="0" applyFill="1" applyBorder="1" applyAlignment="1">
      <alignment horizontal="center" vertical="bottom"/>
    </xf>
    <xf numFmtId="0" fontId="22" fillId="0" borderId="57" xfId="0" applyFill="1" applyBorder="1" applyAlignment="1">
      <alignment horizontal="center" vertical="bottom"/>
    </xf>
    <xf numFmtId="0" fontId="10" fillId="7" borderId="0" xfId="1" applyFont="1" applyFill="1" applyBorder="1" applyAlignment="1">
      <alignment horizontal="center" vertical="center" wrapText="1"/>
    </xf>
    <xf numFmtId="0" fontId="22" fillId="12" borderId="0" xfId="0" applyFill="1" applyBorder="1" applyAlignment="1">
      <alignment horizontal="center" vertical="center"/>
    </xf>
    <xf numFmtId="21" fontId="10" fillId="2" borderId="0" xfId="1" applyNumberFormat="1" applyFont="1" applyFill="1" applyBorder="1" applyAlignment="1">
      <alignment horizontal="center" vertical="center"/>
    </xf>
    <xf numFmtId="21" fontId="10" fillId="2" borderId="0" xfId="1" applyNumberFormat="1" applyFont="1" applyFill="1" applyBorder="1" applyAlignment="1">
      <alignment horizontal="center" vertical="center" wrapText="1"/>
    </xf>
    <xf numFmtId="0" fontId="22" fillId="2" borderId="0" xfId="0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21" fontId="15" fillId="7" borderId="0" xfId="0" applyNumberFormat="1" applyFont="1" applyFill="1" applyBorder="1" applyAlignment="1">
      <alignment vertical="center" wrapText="1"/>
    </xf>
    <xf numFmtId="21" fontId="10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21" fontId="9" fillId="0" borderId="0" xfId="0" applyNumberFormat="1" applyFont="1" applyFill="1" applyBorder="1">
      <alignment vertical="center"/>
    </xf>
    <xf numFmtId="21" fontId="10" fillId="7" borderId="0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21" fontId="10" fillId="0" borderId="58" xfId="0" applyNumberFormat="1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13" borderId="18" xfId="0" applyFont="1" applyFill="1" applyBorder="1" applyAlignment="1">
      <alignment horizontal="center" vertical="center" wrapText="1"/>
    </xf>
    <xf numFmtId="0" fontId="13" fillId="14" borderId="18" xfId="0" applyFont="1" applyFill="1" applyBorder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22" fillId="0" borderId="26" xfId="0" applyBorder="1" applyAlignment="1">
      <alignment vertical="bottom"/>
    </xf>
    <xf numFmtId="0" fontId="22" fillId="0" borderId="27" xfId="0" applyBorder="1" applyAlignment="1">
      <alignment vertical="bottom"/>
    </xf>
    <xf numFmtId="0" fontId="8" fillId="3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49" xfId="0" applyFont="1" applyFill="1" applyBorder="1" applyAlignment="1">
      <alignment horizontal="center" vertical="center" wrapText="1"/>
    </xf>
    <xf numFmtId="0" fontId="10" fillId="7" borderId="59" xfId="1" applyFont="1" applyFill="1" applyBorder="1" applyAlignment="1">
      <alignment horizontal="center" vertical="center" wrapText="1"/>
    </xf>
    <xf numFmtId="0" fontId="22" fillId="12" borderId="13" xfId="0" applyFill="1" applyBorder="1" applyAlignment="1">
      <alignment horizontal="center" vertical="center"/>
    </xf>
    <xf numFmtId="21" fontId="10" fillId="2" borderId="49" xfId="1" applyNumberFormat="1" applyFont="1" applyFill="1" applyBorder="1" applyAlignment="1">
      <alignment horizontal="center" vertical="center" wrapText="1"/>
    </xf>
    <xf numFmtId="0" fontId="22" fillId="12" borderId="39" xfId="0" applyFill="1" applyBorder="1" applyAlignment="1">
      <alignment horizontal="center" vertical="center"/>
    </xf>
    <xf numFmtId="21" fontId="10" fillId="5" borderId="46" xfId="0" applyNumberFormat="1" applyFont="1" applyFill="1" applyBorder="1" applyAlignment="1">
      <alignment horizontal="center" vertical="center" wrapText="1"/>
    </xf>
    <xf numFmtId="21" fontId="10" fillId="2" borderId="46" xfId="1" applyNumberFormat="1" applyFont="1" applyFill="1" applyBorder="1" applyAlignment="1">
      <alignment horizontal="center" vertical="center" wrapText="1"/>
    </xf>
    <xf numFmtId="0" fontId="22" fillId="2" borderId="13" xfId="0" applyFill="1" applyBorder="1" applyAlignment="1">
      <alignment horizontal="center" vertical="center"/>
    </xf>
    <xf numFmtId="21" fontId="10" fillId="0" borderId="49" xfId="0" applyNumberFormat="1" applyFont="1" applyFill="1" applyBorder="1" applyAlignment="1">
      <alignment horizontal="center" vertical="center" wrapText="1"/>
    </xf>
    <xf numFmtId="21" fontId="12" fillId="0" borderId="49" xfId="0" applyNumberFormat="1" applyFont="1" applyFill="1" applyBorder="1" applyAlignment="1">
      <alignment horizontal="center" vertical="center" wrapText="1"/>
    </xf>
    <xf numFmtId="0" fontId="10" fillId="2" borderId="46" xfId="1" applyFont="1" applyFill="1" applyBorder="1" applyAlignment="1">
      <alignment horizontal="center" vertical="center" wrapText="1"/>
    </xf>
    <xf numFmtId="21" fontId="10" fillId="0" borderId="13" xfId="0" applyNumberFormat="1" applyFont="1" applyFill="1" applyBorder="1" applyAlignment="1">
      <alignment vertical="center" wrapText="1"/>
    </xf>
    <xf numFmtId="21" fontId="10" fillId="0" borderId="44" xfId="0" applyNumberFormat="1" applyFont="1" applyFill="1" applyBorder="1" applyAlignment="1">
      <alignment horizontal="center" vertical="center" wrapText="1"/>
    </xf>
    <xf numFmtId="21" fontId="12" fillId="0" borderId="44" xfId="0" applyNumberFormat="1" applyFont="1" applyFill="1" applyBorder="1" applyAlignment="1">
      <alignment horizontal="center" vertical="center" wrapText="1"/>
    </xf>
    <xf numFmtId="0" fontId="10" fillId="0" borderId="60" xfId="1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0" fillId="7" borderId="61" xfId="1" applyFont="1" applyFill="1" applyBorder="1" applyAlignment="1">
      <alignment horizontal="center" vertical="center" wrapText="1"/>
    </xf>
    <xf numFmtId="21" fontId="9" fillId="0" borderId="13" xfId="0" applyNumberFormat="1" applyFont="1" applyFill="1" applyBorder="1">
      <alignment vertical="center"/>
    </xf>
    <xf numFmtId="21" fontId="10" fillId="0" borderId="41" xfId="0" applyNumberFormat="1" applyFont="1" applyFill="1" applyBorder="1" applyAlignment="1">
      <alignment vertical="center" wrapText="1"/>
    </xf>
    <xf numFmtId="0" fontId="22" fillId="2" borderId="27" xfId="0" applyFill="1" applyBorder="1" applyAlignment="1">
      <alignment horizontal="center" vertical="center"/>
    </xf>
    <xf numFmtId="21" fontId="15" fillId="7" borderId="32" xfId="0" applyNumberFormat="1" applyFont="1" applyFill="1" applyBorder="1" applyAlignment="1">
      <alignment vertical="center" wrapText="1"/>
    </xf>
    <xf numFmtId="21" fontId="12" fillId="0" borderId="7" xfId="0" applyNumberFormat="1" applyFont="1" applyFill="1" applyBorder="1" applyAlignment="1">
      <alignment horizontal="center" vertical="center" wrapText="1"/>
    </xf>
    <xf numFmtId="21" fontId="15" fillId="7" borderId="8" xfId="0" applyNumberFormat="1" applyFont="1" applyFill="1" applyBorder="1" applyAlignment="1">
      <alignment vertical="center" wrapText="1"/>
    </xf>
    <xf numFmtId="0" fontId="22" fillId="0" borderId="16" xfId="0" applyBorder="1" applyAlignment="1">
      <alignment vertical="bottom"/>
    </xf>
    <xf numFmtId="0" fontId="22" fillId="0" borderId="16" xfId="0" applyBorder="1" applyAlignment="1">
      <alignment vertical="bottom"/>
    </xf>
    <xf numFmtId="0" fontId="22" fillId="0" borderId="57" xfId="0" applyBorder="1" applyAlignment="1">
      <alignment vertical="bottom"/>
    </xf>
    <xf numFmtId="0" fontId="3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  <protection locked="0" hidden="0"/>
    </xf>
    <xf numFmtId="0" fontId="6" fillId="0" borderId="14" xfId="0" applyFont="1" applyFill="1" applyBorder="1" applyAlignment="1">
      <alignment horizontal="center" vertical="center" wrapText="1"/>
    </xf>
    <xf numFmtId="21" fontId="7" fillId="0" borderId="46" xfId="0" applyNumberFormat="1" applyFont="1" applyFill="1" applyBorder="1" applyAlignment="1">
      <alignment horizontal="center" vertical="center" wrapText="1"/>
    </xf>
    <xf numFmtId="0" fontId="10" fillId="2" borderId="49" xfId="0" applyFont="1" applyFill="1" applyBorder="1" applyAlignment="1">
      <alignment horizontal="center" vertical="center"/>
    </xf>
    <xf numFmtId="21" fontId="10" fillId="0" borderId="6" xfId="0" applyNumberFormat="1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center" vertical="center"/>
    </xf>
    <xf numFmtId="21" fontId="26" fillId="0" borderId="6" xfId="0" applyNumberFormat="1" applyFont="1" applyFill="1" applyBorder="1" applyAlignment="1">
      <alignment horizontal="right" vertical="center" wrapText="1"/>
    </xf>
    <xf numFmtId="21" fontId="26" fillId="0" borderId="14" xfId="0" applyNumberFormat="1" applyFont="1" applyFill="1" applyBorder="1" applyAlignment="1">
      <alignment horizontal="right" vertical="center" wrapText="1"/>
    </xf>
    <xf numFmtId="0" fontId="14" fillId="2" borderId="4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 wrapText="1"/>
    </xf>
    <xf numFmtId="0" fontId="22" fillId="15" borderId="0" xfId="0" applyFill="1" applyAlignment="1">
      <alignment horizontal="center" vertical="center"/>
    </xf>
    <xf numFmtId="0" fontId="22" fillId="16" borderId="0" xfId="0" applyFill="1" applyAlignment="1">
      <alignment horizontal="center" vertical="center"/>
    </xf>
    <xf numFmtId="0" fontId="22" fillId="5" borderId="0" xfId="0" applyFill="1" applyAlignment="1">
      <alignment horizontal="center" vertical="center"/>
    </xf>
    <xf numFmtId="0" fontId="22" fillId="0" borderId="0" xfId="0" applyAlignment="1">
      <alignment horizontal="center" vertical="center"/>
    </xf>
    <xf numFmtId="0" fontId="27" fillId="15" borderId="44" xfId="0" applyFont="1" applyFill="1" applyBorder="1" applyAlignment="1">
      <alignment horizontal="center" vertical="center" wrapText="1"/>
    </xf>
    <xf numFmtId="0" fontId="27" fillId="15" borderId="0" xfId="0" applyFont="1" applyFill="1" applyAlignment="1">
      <alignment horizontal="center" vertical="center" wrapText="1"/>
    </xf>
    <xf numFmtId="0" fontId="14" fillId="15" borderId="11" xfId="0" applyFont="1" applyFill="1" applyBorder="1" applyAlignment="1">
      <alignment horizontal="center" vertical="center"/>
    </xf>
    <xf numFmtId="0" fontId="28" fillId="17" borderId="44" xfId="0" applyFont="1" applyFill="1" applyBorder="1" applyAlignment="1">
      <alignment horizontal="center" vertical="center"/>
    </xf>
    <xf numFmtId="0" fontId="28" fillId="17" borderId="0" xfId="0" applyFont="1" applyFill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NumberFormat="1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6" xfId="0" applyNumberFormat="1" applyFont="1" applyFill="1" applyBorder="1" applyAlignment="1">
      <alignment horizontal="center" vertical="center" wrapText="1"/>
    </xf>
    <xf numFmtId="0" fontId="22" fillId="5" borderId="11" xfId="0" applyNumberFormat="1" applyFill="1" applyBorder="1" applyAlignment="1">
      <alignment horizontal="center" vertical="center"/>
    </xf>
    <xf numFmtId="21" fontId="29" fillId="13" borderId="11" xfId="0" applyNumberFormat="1" applyFont="1" applyFill="1" applyBorder="1" applyAlignment="1">
      <alignment horizontal="center" vertical="center"/>
    </xf>
    <xf numFmtId="21" fontId="14" fillId="13" borderId="11" xfId="0" applyNumberFormat="1" applyFont="1" applyFill="1" applyBorder="1" applyAlignment="1">
      <alignment horizontal="center" vertical="center"/>
    </xf>
    <xf numFmtId="21" fontId="14" fillId="18" borderId="11" xfId="0" applyNumberFormat="1" applyFont="1" applyFill="1" applyBorder="1" applyAlignment="1">
      <alignment horizontal="center" vertical="center"/>
    </xf>
    <xf numFmtId="0" fontId="22" fillId="5" borderId="11" xfId="0" applyFill="1" applyBorder="1" applyAlignment="1">
      <alignment horizontal="center" vertical="center"/>
    </xf>
    <xf numFmtId="21" fontId="22" fillId="13" borderId="11" xfId="0" applyNumberFormat="1" applyFill="1" applyBorder="1" applyAlignment="1">
      <alignment horizontal="center" vertical="center"/>
    </xf>
    <xf numFmtId="21" fontId="22" fillId="18" borderId="11" xfId="0" applyNumberFormat="1" applyFill="1" applyBorder="1" applyAlignment="1">
      <alignment horizontal="center" vertical="center"/>
    </xf>
    <xf numFmtId="164" fontId="14" fillId="13" borderId="11" xfId="0" applyNumberFormat="1" applyFont="1" applyFill="1" applyBorder="1" applyAlignment="1">
      <alignment horizontal="center" vertical="center"/>
    </xf>
    <xf numFmtId="21" fontId="22" fillId="0" borderId="0" xfId="0" applyNumberFormat="1" applyAlignment="1">
      <alignment horizontal="center" vertical="center"/>
    </xf>
    <xf numFmtId="21" fontId="14" fillId="19" borderId="11" xfId="0" applyNumberFormat="1" applyFont="1" applyFill="1" applyBorder="1" applyAlignment="1">
      <alignment horizontal="center" vertical="center"/>
    </xf>
    <xf numFmtId="0" fontId="22" fillId="5" borderId="14" xfId="0" applyFill="1" applyBorder="1" applyAlignment="1">
      <alignment horizontal="center" vertical="center"/>
    </xf>
    <xf numFmtId="0" fontId="22" fillId="0" borderId="11" xfId="0" applyBorder="1" applyAlignment="1">
      <alignment horizontal="center" vertical="center"/>
    </xf>
    <xf numFmtId="0" fontId="22" fillId="0" borderId="39" xfId="0" applyBorder="1" applyAlignment="1">
      <alignment horizontal="center" vertical="center"/>
    </xf>
    <xf numFmtId="21" fontId="22" fillId="0" borderId="11" xfId="0" applyNumberFormat="1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0" fontId="22" fillId="5" borderId="6" xfId="0" applyFill="1" applyBorder="1" applyAlignment="1">
      <alignment horizontal="center" vertical="center"/>
    </xf>
    <xf numFmtId="0" fontId="22" fillId="20" borderId="11" xfId="0" applyFill="1" applyBorder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46" fontId="14" fillId="16" borderId="11" xfId="0" applyNumberFormat="1" applyFont="1" applyFill="1" applyBorder="1" applyAlignment="1">
      <alignment horizontal="center" vertical="center"/>
    </xf>
    <xf numFmtId="21" fontId="14" fillId="16" borderId="11" xfId="0" applyNumberFormat="1" applyFont="1" applyFill="1" applyBorder="1" applyAlignment="1">
      <alignment horizontal="center" vertical="center"/>
    </xf>
    <xf numFmtId="46" fontId="14" fillId="0" borderId="11" xfId="0" applyNumberFormat="1" applyFont="1" applyFill="1" applyBorder="1" applyAlignment="1">
      <alignment horizontal="center" vertical="center"/>
    </xf>
    <xf numFmtId="46" fontId="14" fillId="16" borderId="0" xfId="0" applyNumberFormat="1" applyFont="1" applyFill="1" applyAlignment="1">
      <alignment horizontal="center" vertical="center"/>
    </xf>
    <xf numFmtId="21" fontId="22" fillId="2" borderId="0" xfId="0" applyNumberForma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  <protection locked="0" hidden="0"/>
    </xf>
    <xf numFmtId="0" fontId="6" fillId="0" borderId="2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10" fillId="7" borderId="62" xfId="1" applyFont="1" applyFill="1" applyBorder="1" applyAlignment="1">
      <alignment horizontal="center" vertical="center" wrapText="1"/>
    </xf>
    <xf numFmtId="0" fontId="10" fillId="7" borderId="5" xfId="1" applyFont="1" applyFill="1" applyBorder="1" applyAlignment="1">
      <alignment horizontal="center" vertical="center" wrapText="1"/>
    </xf>
    <xf numFmtId="0" fontId="10" fillId="7" borderId="38" xfId="1" applyFont="1" applyFill="1" applyBorder="1" applyAlignment="1">
      <alignment horizontal="center" vertical="center" wrapText="1"/>
    </xf>
    <xf numFmtId="0" fontId="28" fillId="15" borderId="44" xfId="0" applyFont="1" applyFill="1" applyBorder="1" applyAlignment="1">
      <alignment horizontal="center" vertical="center" wrapText="1"/>
    </xf>
    <xf numFmtId="0" fontId="28" fillId="15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31" fillId="15" borderId="11" xfId="0" applyFont="1" applyFill="1" applyBorder="1" applyAlignment="1">
      <alignment horizontal="center" vertical="center"/>
    </xf>
    <xf numFmtId="0" fontId="32" fillId="17" borderId="44" xfId="0" applyFont="1" applyFill="1" applyBorder="1" applyAlignment="1">
      <alignment horizontal="center" vertical="center"/>
    </xf>
    <xf numFmtId="0" fontId="32" fillId="17" borderId="0" xfId="0" applyFont="1" applyFill="1" applyAlignment="1">
      <alignment horizontal="center" vertical="center"/>
    </xf>
    <xf numFmtId="21" fontId="14" fillId="19" borderId="11" xfId="0" applyNumberFormat="1" applyFont="1" applyFill="1" applyBorder="1" applyAlignment="1">
      <alignment horizontal="center" vertical="center"/>
    </xf>
    <xf numFmtId="21" fontId="22" fillId="2" borderId="11" xfId="0" applyNumberFormat="1" applyFill="1" applyBorder="1" applyAlignment="1">
      <alignment horizontal="center" vertical="center"/>
    </xf>
    <xf numFmtId="20" fontId="22" fillId="2" borderId="11" xfId="0" applyNumberFormat="1" applyFill="1" applyBorder="1" applyAlignment="1">
      <alignment horizontal="center" vertical="center"/>
    </xf>
    <xf numFmtId="0" fontId="18" fillId="0" borderId="46" xfId="0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21" fillId="0" borderId="6" xfId="0" applyFont="1" applyFill="1" applyBorder="1">
      <alignment vertical="center"/>
    </xf>
    <xf numFmtId="21" fontId="16" fillId="5" borderId="11" xfId="0" applyNumberFormat="1" applyFont="1" applyFill="1" applyBorder="1" applyAlignment="1">
      <alignment horizontal="center" vertical="center"/>
    </xf>
  </cellXfs>
  <cellStyles count="2">
    <cellStyle name="常规" xfId="0" builtinId="0"/>
    <cellStyle name="Normal 2 2" xfId="1"/>
  </cellStyles>
  <dxfs count="218"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E36B09"/>
        </patternFill>
      </fill>
    </dxf>
    <dxf>
      <fill>
        <patternFill patternType="solid">
          <bgColor rgb="FF963734"/>
        </patternFill>
      </fill>
    </dxf>
    <dxf>
      <fill>
        <patternFill patternType="solid">
          <bgColor rgb="FFFF99FF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www.wps.cn/officeDocument/2020/cellImage" Target="cellimages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27582</xdr:colOff>
      <xdr:row>2</xdr:row>
      <xdr:rowOff>0</xdr:rowOff>
    </xdr:from>
    <xdr:to>
      <xdr:col>1</xdr:col>
      <xdr:colOff>203754</xdr:colOff>
      <xdr:row>5</xdr:row>
      <xdr:rowOff>101282</xdr:rowOff>
    </xdr:to>
    <xdr:sp macro="" textlink="">
      <xdr:nvSpPr>
        <xdr:cNvPr id="2" name="rect"/>
        <xdr:cNvSpPr/>
      </xdr:nvSpPr>
      <xdr:spPr>
        <a:xfrm>
          <a:off x="973455" y="408305"/>
          <a:ext cx="176530" cy="774065"/>
        </a:xfrm>
        <a:prstGeom prst="rect">
          <a:avLst/>
        </a:prstGeom>
        <a:solidFill>
          <a:srgbClr val="ffffff"/>
        </a:solidFill>
        <a:ln w="9525" cap="flat" cmpd="sng">
          <a:solidFill>
            <a:srgbClr val="305e92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PILOTING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4CACC6"/>
    <pageSetUpPr fitToPage="1"/>
  </sheetPr>
  <dimension ref="A1:GN40"/>
  <sheetViews>
    <sheetView workbookViewId="0" zoomScale="85">
      <pane xSplit="1" ySplit="3" topLeftCell="B4" state="frozen" activePane="bottomRight"/>
      <selection pane="bottomRight" activeCell="E35" sqref="E35:I40"/>
    </sheetView>
  </sheetViews>
  <sheetFormatPr defaultRowHeight="13.8" defaultColWidth="9"/>
  <cols>
    <col min="1" max="1" customWidth="1" width="13.7109375" style="1"/>
    <col min="2" max="2" customWidth="1" width="11.425781" style="1"/>
    <col min="3" max="13" customWidth="1" width="11.425781" style="2"/>
    <col min="14" max="14" customWidth="1" width="11.425781" style="3"/>
    <col min="15" max="16" customWidth="0" width="9.136719" style="3"/>
    <col min="17" max="17" customWidth="0" width="12.886719" style="3"/>
    <col min="18" max="16384" customWidth="0" width="9.136719" style="3"/>
  </cols>
  <sheetData>
    <row r="1" spans="8:8" ht="18.9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8:8" s="7" ht="21.75" customFormat="1" customHeight="1">
      <c r="A2" s="8" t="s">
        <v>1</v>
      </c>
      <c r="B2" s="9">
        <v>799.0</v>
      </c>
      <c r="C2" s="10">
        <v>799.0</v>
      </c>
      <c r="D2" s="10">
        <v>799.0</v>
      </c>
      <c r="E2" s="10">
        <v>799.0</v>
      </c>
      <c r="F2" s="10">
        <v>799.0</v>
      </c>
      <c r="G2" s="10">
        <v>799.0</v>
      </c>
      <c r="H2" s="10">
        <v>799.0</v>
      </c>
      <c r="I2" s="10">
        <v>799.0</v>
      </c>
      <c r="J2" s="10">
        <v>799.0</v>
      </c>
      <c r="K2" s="10">
        <v>799.0</v>
      </c>
      <c r="L2" s="10">
        <v>799.0</v>
      </c>
      <c r="M2" s="10">
        <v>799.0</v>
      </c>
      <c r="N2" s="11">
        <v>799.0</v>
      </c>
    </row>
    <row r="3" spans="8:8" s="12" ht="15.0" customFormat="1" customHeight="1">
      <c r="A3" s="13"/>
      <c r="B3" s="14" t="s">
        <v>2</v>
      </c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1"/>
      <c r="O3" s="7"/>
    </row>
    <row r="4" spans="8:8" s="17" ht="15.0" customFormat="1" customHeight="1">
      <c r="A4" s="18" t="s">
        <v>3</v>
      </c>
      <c r="B4" s="19" t="s">
        <v>4</v>
      </c>
      <c r="C4" s="20">
        <v>0.315972222222222</v>
      </c>
      <c r="D4" s="21">
        <f>C13+'L-7 KEY NEW(JPVE)'!$T$20</f>
        <v>0.34392361111111064</v>
      </c>
      <c r="E4" s="21">
        <f>D13+'L-7 KEY NEW(JPVE)'!$T$20</f>
        <v>0.36631944444444364</v>
      </c>
      <c r="F4" s="21">
        <f>E13+'L-7 KEY NEW(JPVE)'!$T$20</f>
        <v>0.38871527777777665</v>
      </c>
      <c r="G4" s="21">
        <f>F13+'L-7 KEY NEW(JPVE)'!$T$20</f>
        <v>0.41111111111110965</v>
      </c>
      <c r="H4" s="21">
        <f>G13+'L-7 KEY NEW(JPVE)'!$T$20</f>
        <v>0.43350694444444265</v>
      </c>
      <c r="I4" s="21">
        <f>H13+'L-7 KEY NEW(JPVE)'!$T$20</f>
        <v>0.45590277777777566</v>
      </c>
      <c r="J4" s="21">
        <f>I13+'L-7 KEY NEW(JPVE)'!$T$20</f>
        <v>0.47829861111110866</v>
      </c>
      <c r="K4" s="21">
        <f>J13+'L-7 KEY NEW(JPVE)'!$T$20</f>
        <v>0.5006944444444417</v>
      </c>
      <c r="L4" s="21">
        <f>K13+'L-7 KEY NEW(JPVE)'!$T$20</f>
        <v>0.5230902777777747</v>
      </c>
      <c r="M4" s="21">
        <f>L13+'L-7 KEY NEW(JPVE)'!$T$20</f>
        <v>0.5454861111111077</v>
      </c>
      <c r="N4" s="22">
        <f>M13+'L-7 KEY NEW(JPVE)'!$T$20</f>
        <v>0.5678819444444407</v>
      </c>
      <c r="O4" s="7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</row>
    <row r="5" spans="8:8" ht="15.0" customHeight="1">
      <c r="A5" s="24" t="s">
        <v>5</v>
      </c>
      <c r="B5" s="19"/>
      <c r="C5" s="20">
        <f>C4+'L-7 KEY NEW(JPVE)'!$I5</f>
        <v>0.31893518518518493</v>
      </c>
      <c r="D5" s="25">
        <f>D4+'L-7 KEY NEW(JPVE)'!$D5</f>
        <v>0.3462847222222221</v>
      </c>
      <c r="E5" s="25">
        <f>E4+'L-7 KEY NEW(JPVE)'!$D5</f>
        <v>0.36868055555555507</v>
      </c>
      <c r="F5" s="25">
        <f>F4+'L-7 KEY NEW(JPVE)'!$D5</f>
        <v>0.39107638888888807</v>
      </c>
      <c r="G5" s="25">
        <f>G4+'L-7 KEY NEW(JPVE)'!$D5</f>
        <v>0.4134722222222211</v>
      </c>
      <c r="H5" s="25">
        <f>H4+'L-7 KEY NEW(JPVE)'!$D5</f>
        <v>0.4358680555555541</v>
      </c>
      <c r="I5" s="25">
        <f>I4+'L-7 KEY NEW(JPVE)'!$D5</f>
        <v>0.4582638888888871</v>
      </c>
      <c r="J5" s="25">
        <f>J4+'L-7 KEY NEW(JPVE)'!$D5</f>
        <v>0.4806597222222201</v>
      </c>
      <c r="K5" s="25">
        <f>K4+'L-7 KEY NEW(JPVE)'!$D5</f>
        <v>0.5030555555555531</v>
      </c>
      <c r="L5" s="25">
        <f>L4+'L-7 KEY NEW(JPVE)'!$D5</f>
        <v>0.5254513888888861</v>
      </c>
      <c r="M5" s="25">
        <f>M4+'L-7 KEY NEW(JPVE)'!$D5</f>
        <v>0.5478472222222192</v>
      </c>
      <c r="N5" s="26">
        <f>N4+'L-7 KEY NEW(JPVE)'!$D5</f>
        <v>0.5702430555555521</v>
      </c>
      <c r="O5" s="7"/>
    </row>
    <row r="6" spans="8:8" ht="15.0" customHeight="1">
      <c r="A6" s="24" t="s">
        <v>6</v>
      </c>
      <c r="B6" s="19"/>
      <c r="C6" s="20">
        <f>C5+'L-7 KEY NEW(JPVE)'!$I6</f>
        <v>0.32277777777777755</v>
      </c>
      <c r="D6" s="27">
        <f>D5+'L-7 KEY NEW(JPVE)'!$D6</f>
        <v>0.3493171296296294</v>
      </c>
      <c r="E6" s="27">
        <f>E5+'L-7 KEY NEW(JPVE)'!$D6</f>
        <v>0.3717129629629624</v>
      </c>
      <c r="F6" s="27">
        <f>F5+'L-7 KEY NEW(JPVE)'!$D6</f>
        <v>0.3941087962962954</v>
      </c>
      <c r="G6" s="27">
        <f>G5+'L-7 KEY NEW(JPVE)'!$D6</f>
        <v>0.4165046296296284</v>
      </c>
      <c r="H6" s="27">
        <f>H5+'L-7 KEY NEW(JPVE)'!$D6</f>
        <v>0.4389004629629614</v>
      </c>
      <c r="I6" s="27">
        <f>I5+'L-7 KEY NEW(JPVE)'!$D6</f>
        <v>0.46129629629629443</v>
      </c>
      <c r="J6" s="27">
        <f>J5+'L-7 KEY NEW(JPVE)'!$D6</f>
        <v>0.4836921296296274</v>
      </c>
      <c r="K6" s="27">
        <f>K5+'L-7 KEY NEW(JPVE)'!$D6</f>
        <v>0.5060879629629604</v>
      </c>
      <c r="L6" s="27">
        <f>L5+'L-7 KEY NEW(JPVE)'!$D6</f>
        <v>0.5284837962962934</v>
      </c>
      <c r="M6" s="27">
        <f>M5+'L-7 KEY NEW(JPVE)'!$D6</f>
        <v>0.5508796296296264</v>
      </c>
      <c r="N6" s="26">
        <f>N5+'L-7 KEY NEW(JPVE)'!$D6</f>
        <v>0.5732754629629594</v>
      </c>
      <c r="O6" s="7"/>
      <c r="Q6" s="21"/>
    </row>
    <row r="7" spans="8:8" s="28" ht="15.0" customFormat="1" customHeight="1">
      <c r="A7" s="18" t="s">
        <v>7</v>
      </c>
      <c r="B7" s="19"/>
      <c r="C7" s="20">
        <f>C6+'L-7 KEY NEW(JPVE)'!$I7</f>
        <v>0.3292824074074076</v>
      </c>
      <c r="D7" s="27">
        <f>D6+'L-7 KEY NEW(JPVE)'!$D7</f>
        <v>0.3546874999999994</v>
      </c>
      <c r="E7" s="27">
        <f>E6+'L-7 KEY NEW(JPVE)'!$D7</f>
        <v>0.3770833333333324</v>
      </c>
      <c r="F7" s="27">
        <f>F6+'L-7 KEY NEW(JPVE)'!$D7</f>
        <v>0.3994791666666654</v>
      </c>
      <c r="G7" s="27">
        <f>G6+'L-7 KEY NEW(JPVE)'!$D7</f>
        <v>0.42187499999999833</v>
      </c>
      <c r="H7" s="27">
        <f>H6+'L-7 KEY NEW(JPVE)'!$D7</f>
        <v>0.44427083333333134</v>
      </c>
      <c r="I7" s="27">
        <f>I6+'L-7 KEY NEW(JPVE)'!$D7</f>
        <v>0.46666666666666434</v>
      </c>
      <c r="J7" s="27">
        <f>J6+'L-7 KEY NEW(JPVE)'!$D7</f>
        <v>0.48906249999999735</v>
      </c>
      <c r="K7" s="27">
        <f>K6+'L-7 KEY NEW(JPVE)'!$D7</f>
        <v>0.5114583333333304</v>
      </c>
      <c r="L7" s="27">
        <f>L6+'L-7 KEY NEW(JPVE)'!$D7</f>
        <v>0.5338541666666634</v>
      </c>
      <c r="M7" s="27">
        <f>M6+'L-7 KEY NEW(JPVE)'!$D7</f>
        <v>0.5562499999999964</v>
      </c>
      <c r="N7" s="26">
        <f>N6+'L-7 KEY NEW(JPVE)'!$D7</f>
        <v>0.5786458333333293</v>
      </c>
      <c r="O7" s="7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</row>
    <row r="8" spans="8:8" s="29" ht="15.95" customFormat="1" customHeight="1">
      <c r="A8" s="30" t="s">
        <v>8</v>
      </c>
      <c r="B8" s="31" t="s">
        <v>2</v>
      </c>
      <c r="C8" s="31" t="s">
        <v>2</v>
      </c>
      <c r="D8" s="31" t="s">
        <v>2</v>
      </c>
      <c r="E8" s="31" t="s">
        <v>2</v>
      </c>
      <c r="F8" s="31" t="s">
        <v>2</v>
      </c>
      <c r="G8" s="31" t="s">
        <v>2</v>
      </c>
      <c r="H8" s="31" t="s">
        <v>2</v>
      </c>
      <c r="I8" s="31" t="s">
        <v>2</v>
      </c>
      <c r="J8" s="31" t="s">
        <v>2</v>
      </c>
      <c r="K8" s="31" t="s">
        <v>2</v>
      </c>
      <c r="L8" s="31" t="s">
        <v>2</v>
      </c>
      <c r="M8" s="31" t="s">
        <v>2</v>
      </c>
      <c r="N8" s="31" t="s">
        <v>2</v>
      </c>
      <c r="O8" s="7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</row>
    <row r="9" spans="8:8" s="33" ht="15.95" customFormat="1" customHeight="1">
      <c r="A9" s="34" t="s">
        <v>9</v>
      </c>
      <c r="B9" s="35">
        <f t="shared" si="0" ref="B9:N9">B2</f>
        <v>799.0</v>
      </c>
      <c r="C9" s="35">
        <f t="shared" si="0"/>
        <v>799.0</v>
      </c>
      <c r="D9" s="35">
        <f t="shared" si="0"/>
        <v>799.0</v>
      </c>
      <c r="E9" s="35">
        <f t="shared" si="0"/>
        <v>799.0</v>
      </c>
      <c r="F9" s="35">
        <f t="shared" si="0"/>
        <v>799.0</v>
      </c>
      <c r="G9" s="35">
        <f t="shared" si="0"/>
        <v>799.0</v>
      </c>
      <c r="H9" s="35">
        <f t="shared" si="0"/>
        <v>799.0</v>
      </c>
      <c r="I9" s="35">
        <f t="shared" si="0"/>
        <v>799.0</v>
      </c>
      <c r="J9" s="35">
        <f t="shared" si="0"/>
        <v>799.0</v>
      </c>
      <c r="K9" s="35">
        <f t="shared" si="0"/>
        <v>799.0</v>
      </c>
      <c r="L9" s="35">
        <f t="shared" si="0"/>
        <v>799.0</v>
      </c>
      <c r="M9" s="35">
        <f t="shared" si="0"/>
        <v>799.0</v>
      </c>
      <c r="N9" s="36">
        <f t="shared" si="0"/>
        <v>799.0</v>
      </c>
      <c r="O9" s="7"/>
    </row>
    <row r="10" spans="8:8" s="37" ht="15.95" customFormat="1" customHeight="1">
      <c r="A10" s="24" t="s">
        <v>7</v>
      </c>
      <c r="B10" s="20">
        <v>0.277777777777778</v>
      </c>
      <c r="C10" s="38">
        <v>0.333333333333333</v>
      </c>
      <c r="D10" s="25">
        <f>D7+'L-7 KEY NEW(JPVE)'!$T$20</f>
        <v>0.35572916666666565</v>
      </c>
      <c r="E10" s="25">
        <f>E7+'L-7 KEY NEW(JPVE)'!$T$20</f>
        <v>0.37812499999999866</v>
      </c>
      <c r="F10" s="25">
        <f>F7+'L-7 KEY NEW(JPVE)'!$T$20</f>
        <v>0.40052083333333166</v>
      </c>
      <c r="G10" s="25">
        <f>G7+'L-7 KEY NEW(JPVE)'!$T$20</f>
        <v>0.42291666666666466</v>
      </c>
      <c r="H10" s="25">
        <f>H7+'L-7 KEY NEW(JPVE)'!$T$20</f>
        <v>0.44531249999999767</v>
      </c>
      <c r="I10" s="25">
        <f>I7+'L-7 KEY NEW(JPVE)'!$T$20</f>
        <v>0.4677083333333307</v>
      </c>
      <c r="J10" s="25">
        <f>J7+'L-7 KEY NEW(JPVE)'!$T$20</f>
        <v>0.4901041666666637</v>
      </c>
      <c r="K10" s="25">
        <f>K7+'L-7 KEY NEW(JPVE)'!$T$20</f>
        <v>0.5124999999999967</v>
      </c>
      <c r="L10" s="25">
        <f>L7+'L-7 KEY NEW(JPVE)'!$T$20</f>
        <v>0.5348958333333297</v>
      </c>
      <c r="M10" s="25">
        <f>M7+'L-7 KEY NEW(JPVE)'!$T$20</f>
        <v>0.5572916666666627</v>
      </c>
      <c r="N10" s="26">
        <f>N7+'L-7 KEY NEW(JPVE)'!$T$20</f>
        <v>0.5796874999999957</v>
      </c>
      <c r="O10" s="7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</row>
    <row r="11" spans="8:8" ht="15.95" customHeight="1">
      <c r="A11" s="24" t="s">
        <v>6</v>
      </c>
      <c r="B11" s="20">
        <f>B10+'L-7 KEY NEW(JPVE)'!$R5</f>
        <v>0.28370370370370396</v>
      </c>
      <c r="C11" s="25">
        <f>C10+'L-7 KEY NEW(JPVE)'!$M5</f>
        <v>0.33795138888888854</v>
      </c>
      <c r="D11" s="25">
        <f>D10+'L-7 KEY NEW(JPVE)'!$M5</f>
        <v>0.36034722222222154</v>
      </c>
      <c r="E11" s="25">
        <f>E10+'L-7 KEY NEW(JPVE)'!$M5</f>
        <v>0.38274305555555455</v>
      </c>
      <c r="F11" s="25">
        <f>F10+'L-7 KEY NEW(JPVE)'!$M5</f>
        <v>0.40513888888888755</v>
      </c>
      <c r="G11" s="25">
        <f>G10+'L-7 KEY NEW(JPVE)'!$M5</f>
        <v>0.42753472222222055</v>
      </c>
      <c r="H11" s="25">
        <f>H10+'L-7 KEY NEW(JPVE)'!$M5</f>
        <v>0.44993055555555356</v>
      </c>
      <c r="I11" s="25">
        <f>I10+'L-7 KEY NEW(JPVE)'!$M5</f>
        <v>0.47232638888888656</v>
      </c>
      <c r="J11" s="25">
        <f>J10+'L-7 KEY NEW(JPVE)'!$M5</f>
        <v>0.49472222222221957</v>
      </c>
      <c r="K11" s="25">
        <f>K10+'L-7 KEY NEW(JPVE)'!$M5</f>
        <v>0.5171180555555525</v>
      </c>
      <c r="L11" s="25">
        <f>L10+'L-7 KEY NEW(JPVE)'!$M5</f>
        <v>0.5395138888888855</v>
      </c>
      <c r="M11" s="25">
        <f>M10+'L-7 KEY NEW(JPVE)'!$M5</f>
        <v>0.5619097222222185</v>
      </c>
      <c r="N11" s="26">
        <f>N10+'L-7 KEY NEW(JPVE)'!$M5</f>
        <v>0.5843055555555515</v>
      </c>
      <c r="O11" s="7"/>
    </row>
    <row r="12" spans="8:8" ht="15.95" customHeight="1">
      <c r="A12" s="24" t="s">
        <v>5</v>
      </c>
      <c r="B12" s="20">
        <f>B11+'L-7 KEY NEW(JPVE)'!$R6</f>
        <v>0.2875462962962966</v>
      </c>
      <c r="C12" s="27">
        <f>C11+'L-7 KEY NEW(JPVE)'!$M6</f>
        <v>0.3409837962962964</v>
      </c>
      <c r="D12" s="27">
        <f>D11+'L-7 KEY NEW(JPVE)'!$M6</f>
        <v>0.3633796296296294</v>
      </c>
      <c r="E12" s="27">
        <f>E11+'L-7 KEY NEW(JPVE)'!$M6</f>
        <v>0.3857754629629624</v>
      </c>
      <c r="F12" s="27">
        <f>F11+'L-7 KEY NEW(JPVE)'!$M6</f>
        <v>0.4081712962962954</v>
      </c>
      <c r="G12" s="27">
        <f>G11+'L-7 KEY NEW(JPVE)'!$M6</f>
        <v>0.4305671296296284</v>
      </c>
      <c r="H12" s="27">
        <f>H11+'L-7 KEY NEW(JPVE)'!$M6</f>
        <v>0.4529629629629614</v>
      </c>
      <c r="I12" s="27">
        <f>I11+'L-7 KEY NEW(JPVE)'!$M6</f>
        <v>0.4753587962962944</v>
      </c>
      <c r="J12" s="27">
        <f>J11+'L-7 KEY NEW(JPVE)'!$M6</f>
        <v>0.4977546296296274</v>
      </c>
      <c r="K12" s="27">
        <f>K11+'L-7 KEY NEW(JPVE)'!$M6</f>
        <v>0.5201504629629604</v>
      </c>
      <c r="L12" s="27">
        <f>L11+'L-7 KEY NEW(JPVE)'!$M6</f>
        <v>0.5425462962962934</v>
      </c>
      <c r="M12" s="27">
        <f>M11+'L-7 KEY NEW(JPVE)'!$M6</f>
        <v>0.5649421296296264</v>
      </c>
      <c r="N12" s="26">
        <f>N11+'L-7 KEY NEW(JPVE)'!$M6</f>
        <v>0.5873379629629594</v>
      </c>
      <c r="O12" s="7"/>
    </row>
    <row r="13" spans="8:8" s="17" ht="15.95" customFormat="1" customHeight="1">
      <c r="A13" s="24" t="s">
        <v>3</v>
      </c>
      <c r="B13" s="20">
        <f>B12+'L-7 KEY NEW(JPVE)'!$R7</f>
        <v>0.290046296296297</v>
      </c>
      <c r="C13" s="27">
        <f>C12+'L-7 KEY NEW(JPVE)'!$M7</f>
        <v>0.34288194444444414</v>
      </c>
      <c r="D13" s="27">
        <f>D12+'L-7 KEY NEW(JPVE)'!$M7</f>
        <v>0.36527777777777715</v>
      </c>
      <c r="E13" s="27">
        <f>E12+'L-7 KEY NEW(JPVE)'!$M7</f>
        <v>0.38767361111111015</v>
      </c>
      <c r="F13" s="27">
        <f>F12+'L-7 KEY NEW(JPVE)'!$M7</f>
        <v>0.41006944444444315</v>
      </c>
      <c r="G13" s="27">
        <f>G12+'L-7 KEY NEW(JPVE)'!$M7</f>
        <v>0.43246527777777616</v>
      </c>
      <c r="H13" s="27">
        <f>H12+'L-7 KEY NEW(JPVE)'!$M7</f>
        <v>0.45486111111110916</v>
      </c>
      <c r="I13" s="27">
        <f>I12+'L-7 KEY NEW(JPVE)'!$M7</f>
        <v>0.47725694444444217</v>
      </c>
      <c r="J13" s="27">
        <f>J12+'L-7 KEY NEW(JPVE)'!$M7</f>
        <v>0.49965277777777517</v>
      </c>
      <c r="K13" s="27">
        <f>K12+'L-7 KEY NEW(JPVE)'!$M7</f>
        <v>0.5220486111111081</v>
      </c>
      <c r="L13" s="27">
        <f>L12+'L-7 KEY NEW(JPVE)'!$M7</f>
        <v>0.5444444444444412</v>
      </c>
      <c r="M13" s="27">
        <f>M12+'L-7 KEY NEW(JPVE)'!$M7</f>
        <v>0.5668402777777741</v>
      </c>
      <c r="N13" s="26">
        <f>N12+'L-7 KEY NEW(JPVE)'!$M7</f>
        <v>0.5892361111111072</v>
      </c>
      <c r="O13" s="7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</row>
    <row r="14" spans="8:8" s="39" ht="15.95" customFormat="1" customHeight="1">
      <c r="A14" s="40" t="s">
        <v>8</v>
      </c>
      <c r="B14" s="41" t="s">
        <v>10</v>
      </c>
      <c r="C14" s="41" t="s">
        <v>10</v>
      </c>
      <c r="D14" s="41" t="s">
        <v>10</v>
      </c>
      <c r="E14" s="41" t="s">
        <v>10</v>
      </c>
      <c r="F14" s="41" t="s">
        <v>10</v>
      </c>
      <c r="G14" s="41" t="s">
        <v>10</v>
      </c>
      <c r="H14" s="41" t="s">
        <v>10</v>
      </c>
      <c r="I14" s="41" t="s">
        <v>10</v>
      </c>
      <c r="J14" s="41" t="s">
        <v>10</v>
      </c>
      <c r="K14" s="41" t="s">
        <v>10</v>
      </c>
      <c r="L14" s="41" t="s">
        <v>10</v>
      </c>
      <c r="M14" s="41" t="s">
        <v>10</v>
      </c>
      <c r="N14" s="41" t="s">
        <v>10</v>
      </c>
      <c r="O14" s="7"/>
    </row>
    <row r="15" spans="8:8" ht="21.75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7"/>
    </row>
    <row r="16" spans="8:8" ht="18.95" customHeight="1">
      <c r="A16" s="8" t="s">
        <v>1</v>
      </c>
      <c r="B16" s="10">
        <v>799.0</v>
      </c>
      <c r="C16" s="10">
        <v>799.0</v>
      </c>
      <c r="D16" s="10">
        <v>799.0</v>
      </c>
      <c r="E16" s="10">
        <v>799.0</v>
      </c>
      <c r="F16" s="10">
        <v>799.0</v>
      </c>
      <c r="G16" s="10">
        <v>799.0</v>
      </c>
      <c r="H16" s="10">
        <v>799.0</v>
      </c>
      <c r="I16" s="10">
        <v>799.0</v>
      </c>
      <c r="J16" s="10">
        <v>799.0</v>
      </c>
      <c r="K16" s="10">
        <v>799.0</v>
      </c>
      <c r="L16" s="10">
        <v>799.0</v>
      </c>
      <c r="M16" s="10">
        <v>799.0</v>
      </c>
      <c r="N16" s="11">
        <v>799.0</v>
      </c>
      <c r="O16" s="7"/>
    </row>
    <row r="17" spans="8:8" ht="15.0" customHeight="1">
      <c r="A17" s="18" t="s">
        <v>3</v>
      </c>
      <c r="B17" s="21">
        <f>N13+'L-7 KEY NEW(JPVE)'!$T$20</f>
        <v>0.5902777777777737</v>
      </c>
      <c r="C17" s="21">
        <f>B26+'L-7 KEY NEW(JPVE)'!$T$20</f>
        <v>0.6126736111111077</v>
      </c>
      <c r="D17" s="21">
        <f>C26+'L-7 KEY NEW(JPVE)'!$T$20</f>
        <v>0.6350694444444407</v>
      </c>
      <c r="E17" s="21">
        <f>D26+'L-7 KEY NEW(JPVE)'!$T$20</f>
        <v>0.6574652777777737</v>
      </c>
      <c r="F17" s="21">
        <f>E26+'L-7 KEY NEW(JPVE)'!$T$20</f>
        <v>0.6798611111111067</v>
      </c>
      <c r="G17" s="21">
        <f>F26+'L-7 KEY NEW(JPVE)'!$T$20</f>
        <v>0.7022569444444398</v>
      </c>
      <c r="H17" s="21">
        <f>G26+'L-7 KEY NEW(JPVE)'!$T$20</f>
        <v>0.7246527777777727</v>
      </c>
      <c r="I17" s="21">
        <f>H26+'L-7 KEY NEW(JPVE)'!$T$20</f>
        <v>0.7470486111111068</v>
      </c>
      <c r="J17" s="21">
        <f>I26+'L-7 KEY NEW(JPVE)'!$T$20</f>
        <v>0.7694444444444387</v>
      </c>
      <c r="K17" s="45">
        <v>0.802777777777778</v>
      </c>
      <c r="L17" s="21">
        <f>K26+'L-7 KEY NEW(JPVE)'!$T$20</f>
        <v>0.8265624999999998</v>
      </c>
      <c r="M17" s="21">
        <f>L26+'L-7 KEY NEW(JPVE)'!$T$20</f>
        <v>0.8489583333333327</v>
      </c>
      <c r="N17" s="22">
        <f>M26+'L-7 KEY NEW(JPVE)'!$T$20</f>
        <v>0.8713541666666668</v>
      </c>
      <c r="O17" s="7"/>
    </row>
    <row r="18" spans="8:8" ht="15.0" customHeight="1">
      <c r="A18" s="24" t="s">
        <v>5</v>
      </c>
      <c r="B18" s="25">
        <f>B17+'L-7 KEY NEW(JPVE)'!$D5</f>
        <v>0.5926388888888852</v>
      </c>
      <c r="C18" s="25">
        <f>C17+'L-7 KEY NEW(JPVE)'!$D5</f>
        <v>0.6150347222222191</v>
      </c>
      <c r="D18" s="25">
        <f>D17+'L-7 KEY NEW(JPVE)'!$D5</f>
        <v>0.6374305555555522</v>
      </c>
      <c r="E18" s="25">
        <f>E17+'L-7 KEY NEW(JPVE)'!$D5</f>
        <v>0.6598263888888851</v>
      </c>
      <c r="F18" s="25">
        <f>F17+'L-7 KEY NEW(JPVE)'!$D5</f>
        <v>0.6822222222222182</v>
      </c>
      <c r="G18" s="25">
        <f>G17+'L-7 KEY NEW(JPVE)'!$D5</f>
        <v>0.7046180555555511</v>
      </c>
      <c r="H18" s="25">
        <f>H17+'L-7 KEY NEW(JPVE)'!$D5</f>
        <v>0.7270138888888842</v>
      </c>
      <c r="I18" s="25">
        <f>I17+'L-7 KEY NEW(JPVE)'!$D5</f>
        <v>0.7494097222222181</v>
      </c>
      <c r="J18" s="25">
        <f>J17+'L-7 KEY NEW(JPVE)'!$D5</f>
        <v>0.7718055555555502</v>
      </c>
      <c r="K18" s="25">
        <f>K17+'L-7 KEY NEW(JPVE)'!$D5</f>
        <v>0.8051388888888892</v>
      </c>
      <c r="L18" s="25">
        <f>L17+'L-7 KEY NEW(JPVE)'!$D5</f>
        <v>0.8289236111111111</v>
      </c>
      <c r="M18" s="25">
        <f>M17+'L-7 KEY NEW(JPVE)'!$D5</f>
        <v>0.8513194444444442</v>
      </c>
      <c r="N18" s="26">
        <f>N17+'L-7 KEY NEW(JPVE)'!$D5</f>
        <v>0.8737152777777781</v>
      </c>
      <c r="O18" s="7"/>
    </row>
    <row r="19" spans="8:8" ht="15.0" customHeight="1">
      <c r="A19" s="24" t="s">
        <v>6</v>
      </c>
      <c r="B19" s="25">
        <f>B18+'L-7 KEY NEW(JPVE)'!$D6</f>
        <v>0.5956712962962925</v>
      </c>
      <c r="C19" s="25">
        <f>C18+'L-7 KEY NEW(JPVE)'!$D6</f>
        <v>0.6180671296296264</v>
      </c>
      <c r="D19" s="25">
        <f>D18+'L-7 KEY NEW(JPVE)'!$D6</f>
        <v>0.6404629629629593</v>
      </c>
      <c r="E19" s="25">
        <f>E18+'L-7 KEY NEW(JPVE)'!$D6</f>
        <v>0.6628587962962924</v>
      </c>
      <c r="F19" s="25">
        <f>F18+'L-7 KEY NEW(JPVE)'!$D6</f>
        <v>0.6852546296296254</v>
      </c>
      <c r="G19" s="25">
        <f>G18+'L-7 KEY NEW(JPVE)'!$D6</f>
        <v>0.7076504629629584</v>
      </c>
      <c r="H19" s="25">
        <f>H18+'L-7 KEY NEW(JPVE)'!$D6</f>
        <v>0.7300462962962914</v>
      </c>
      <c r="I19" s="25">
        <f>I18+'L-7 KEY NEW(JPVE)'!$D6</f>
        <v>0.7524421296296254</v>
      </c>
      <c r="J19" s="25">
        <f>J18+'L-7 KEY NEW(JPVE)'!$D6</f>
        <v>0.7748379629629574</v>
      </c>
      <c r="K19" s="25">
        <f>K18+'L-7 KEY NEW(JPVE)'!$D6</f>
        <v>0.8081712962962964</v>
      </c>
      <c r="L19" s="25">
        <f>L18+'L-7 KEY NEW(JPVE)'!$D6</f>
        <v>0.8319560185185184</v>
      </c>
      <c r="M19" s="25">
        <f>M18+'L-7 KEY NEW(JPVE)'!$D6</f>
        <v>0.8543518518518514</v>
      </c>
      <c r="N19" s="26">
        <f>N18+'L-7 KEY NEW(JPVE)'!$D6</f>
        <v>0.8767476851851854</v>
      </c>
    </row>
    <row r="20" spans="8:8" ht="15.0" customHeight="1">
      <c r="A20" s="18" t="s">
        <v>7</v>
      </c>
      <c r="B20" s="25">
        <f>B19+'L-7 KEY NEW(JPVE)'!$D7</f>
        <v>0.6010416666666634</v>
      </c>
      <c r="C20" s="25">
        <f>C19+'L-7 KEY NEW(JPVE)'!$D7</f>
        <v>0.6234374999999963</v>
      </c>
      <c r="D20" s="25">
        <f>D19+'L-7 KEY NEW(JPVE)'!$D7</f>
        <v>0.6458333333333294</v>
      </c>
      <c r="E20" s="25">
        <f>E19+'L-7 KEY NEW(JPVE)'!$D7</f>
        <v>0.6682291666666623</v>
      </c>
      <c r="F20" s="25">
        <f>F19+'L-7 KEY NEW(JPVE)'!$D7</f>
        <v>0.6906249999999954</v>
      </c>
      <c r="G20" s="25">
        <f>G19+'L-7 KEY NEW(JPVE)'!$D7</f>
        <v>0.7130208333333283</v>
      </c>
      <c r="H20" s="25">
        <f>H19+'L-7 KEY NEW(JPVE)'!$D7</f>
        <v>0.7354166666666614</v>
      </c>
      <c r="I20" s="25">
        <f>I19+'L-7 KEY NEW(JPVE)'!$D7</f>
        <v>0.7578124999999953</v>
      </c>
      <c r="J20" s="25">
        <f>J19+'L-7 KEY NEW(JPVE)'!$D7</f>
        <v>0.7802083333333274</v>
      </c>
      <c r="K20" s="25">
        <f>K19+'L-7 KEY NEW(JPVE)'!$D7</f>
        <v>0.8135416666666664</v>
      </c>
      <c r="L20" s="25">
        <f>L19+'L-7 KEY NEW(JPVE)'!$D7</f>
        <v>0.8373263888888883</v>
      </c>
      <c r="M20" s="25">
        <f>M19+'L-7 KEY NEW(JPVE)'!$D7</f>
        <v>0.8597222222222214</v>
      </c>
      <c r="N20" s="26">
        <f>N19+'L-7 KEY NEW(JPVE)'!$D7</f>
        <v>0.8821180555555553</v>
      </c>
    </row>
    <row r="21" spans="8:8" ht="15.95" customHeight="1">
      <c r="A21" s="30" t="s">
        <v>8</v>
      </c>
      <c r="B21" s="31" t="s">
        <v>2</v>
      </c>
      <c r="C21" s="31" t="s">
        <v>2</v>
      </c>
      <c r="D21" s="31" t="s">
        <v>2</v>
      </c>
      <c r="E21" s="31" t="s">
        <v>2</v>
      </c>
      <c r="F21" s="31" t="s">
        <v>2</v>
      </c>
      <c r="G21" s="31" t="s">
        <v>2</v>
      </c>
      <c r="H21" s="31" t="s">
        <v>2</v>
      </c>
      <c r="I21" s="31" t="s">
        <v>2</v>
      </c>
      <c r="J21" s="31" t="s">
        <v>2</v>
      </c>
      <c r="K21" s="31" t="s">
        <v>2</v>
      </c>
      <c r="L21" s="31" t="s">
        <v>2</v>
      </c>
      <c r="M21" s="31" t="s">
        <v>2</v>
      </c>
      <c r="N21" s="31" t="s">
        <v>2</v>
      </c>
    </row>
    <row r="22" spans="8:8" ht="18.0" customHeight="1">
      <c r="A22" s="34" t="s">
        <v>9</v>
      </c>
      <c r="B22" s="46">
        <f t="shared" si="1" ref="B22:N22">B16</f>
        <v>799.0</v>
      </c>
      <c r="C22" s="46">
        <f t="shared" si="1"/>
        <v>799.0</v>
      </c>
      <c r="D22" s="46">
        <f t="shared" si="1"/>
        <v>799.0</v>
      </c>
      <c r="E22" s="46">
        <f t="shared" si="1"/>
        <v>799.0</v>
      </c>
      <c r="F22" s="46">
        <f t="shared" si="1"/>
        <v>799.0</v>
      </c>
      <c r="G22" s="46">
        <f t="shared" si="1"/>
        <v>799.0</v>
      </c>
      <c r="H22" s="46">
        <f t="shared" si="1"/>
        <v>799.0</v>
      </c>
      <c r="I22" s="46">
        <f t="shared" si="1"/>
        <v>799.0</v>
      </c>
      <c r="J22" s="46">
        <f t="shared" si="1"/>
        <v>799.0</v>
      </c>
      <c r="K22" s="46">
        <f t="shared" si="1"/>
        <v>799.0</v>
      </c>
      <c r="L22" s="46">
        <f t="shared" si="1"/>
        <v>799.0</v>
      </c>
      <c r="M22" s="46">
        <f t="shared" si="1"/>
        <v>799.0</v>
      </c>
      <c r="N22" s="36">
        <f t="shared" si="1"/>
        <v>799.0</v>
      </c>
    </row>
    <row r="23" spans="8:8" ht="15.95" customHeight="1">
      <c r="A23" s="24" t="s">
        <v>7</v>
      </c>
      <c r="B23" s="25">
        <f>B20+'L-7 KEY NEW(JPVE)'!$T$20</f>
        <v>0.6020833333333298</v>
      </c>
      <c r="C23" s="25">
        <f>C20+'L-7 KEY NEW(JPVE)'!$T$20</f>
        <v>0.6244791666666627</v>
      </c>
      <c r="D23" s="25">
        <f>D20+'L-7 KEY NEW(JPVE)'!$T$20</f>
        <v>0.6468749999999958</v>
      </c>
      <c r="E23" s="25">
        <f>E20+'L-7 KEY NEW(JPVE)'!$T$20</f>
        <v>0.6692708333333287</v>
      </c>
      <c r="F23" s="25">
        <f>F20+'L-7 KEY NEW(JPVE)'!$T$20</f>
        <v>0.6916666666666618</v>
      </c>
      <c r="G23" s="25">
        <f>G20+'L-7 KEY NEW(JPVE)'!$T$20</f>
        <v>0.7140624999999947</v>
      </c>
      <c r="H23" s="25">
        <f>H20+'L-7 KEY NEW(JPVE)'!$T$20</f>
        <v>0.7364583333333277</v>
      </c>
      <c r="I23" s="25">
        <f>I20+'L-7 KEY NEW(JPVE)'!$T$20</f>
        <v>0.7588541666666617</v>
      </c>
      <c r="J23" s="25">
        <f>J20+'L-7 KEY NEW(JPVE)'!$T$20</f>
        <v>0.7812499999999937</v>
      </c>
      <c r="K23" s="38">
        <v>0.815972222222222</v>
      </c>
      <c r="L23" s="25">
        <f>L20+'L-7 KEY NEW(JPVE)'!$T$20</f>
        <v>0.8383680555555547</v>
      </c>
      <c r="M23" s="25">
        <f>M20+'L-7 KEY NEW(JPVE)'!$T$20</f>
        <v>0.8607638888888878</v>
      </c>
      <c r="N23" s="26">
        <f>N20+'L-7 KEY NEW(JPVE)'!$T$20</f>
        <v>0.8831597222222217</v>
      </c>
    </row>
    <row r="24" spans="8:8" ht="15.95" customHeight="1">
      <c r="A24" s="24" t="s">
        <v>6</v>
      </c>
      <c r="B24" s="25">
        <f>B23+'L-7 KEY NEW(JPVE)'!$M5</f>
        <v>0.6067013888888855</v>
      </c>
      <c r="C24" s="25">
        <f>C23+'L-7 KEY NEW(JPVE)'!$M5</f>
        <v>0.6290972222222185</v>
      </c>
      <c r="D24" s="25">
        <f>D23+'L-7 KEY NEW(JPVE)'!$M5</f>
        <v>0.6514930555555515</v>
      </c>
      <c r="E24" s="25">
        <f>E23+'L-7 KEY NEW(JPVE)'!$M5</f>
        <v>0.6738888888888845</v>
      </c>
      <c r="F24" s="25">
        <f>F23+'L-7 KEY NEW(JPVE)'!$M5</f>
        <v>0.6962847222222175</v>
      </c>
      <c r="G24" s="25">
        <f>G23+'L-7 KEY NEW(JPVE)'!$M5</f>
        <v>0.7186805555555505</v>
      </c>
      <c r="H24" s="25">
        <f>H23+'L-7 KEY NEW(JPVE)'!$M5</f>
        <v>0.7410763888888835</v>
      </c>
      <c r="I24" s="25">
        <f>I23+'L-7 KEY NEW(JPVE)'!$M5</f>
        <v>0.7634722222222174</v>
      </c>
      <c r="J24" s="25">
        <f>J23+'L-7 KEY NEW(JPVE)'!$M5</f>
        <v>0.7858680555555495</v>
      </c>
      <c r="K24" s="25">
        <f>K23+'L-7 KEY NEW(JPVE)'!$M5</f>
        <v>0.8205902777777775</v>
      </c>
      <c r="L24" s="25">
        <f>L23+'L-7 KEY NEW(JPVE)'!$M5</f>
        <v>0.8429861111111105</v>
      </c>
      <c r="M24" s="25">
        <f>M23+'L-7 KEY NEW(JPVE)'!$M5</f>
        <v>0.8653819444444435</v>
      </c>
      <c r="N24" s="26">
        <f>N23+'L-7 KEY NEW(JPVE)'!$M5</f>
        <v>0.8877777777777776</v>
      </c>
    </row>
    <row r="25" spans="8:8" ht="15.95" customHeight="1">
      <c r="A25" s="24" t="s">
        <v>5</v>
      </c>
      <c r="B25" s="25">
        <f>B24+'L-7 KEY NEW(JPVE)'!$M6</f>
        <v>0.6097337962962934</v>
      </c>
      <c r="C25" s="25">
        <f>C24+'L-7 KEY NEW(JPVE)'!$M6</f>
        <v>0.6321296296296264</v>
      </c>
      <c r="D25" s="25">
        <f>D24+'L-7 KEY NEW(JPVE)'!$M6</f>
        <v>0.6545254629629594</v>
      </c>
      <c r="E25" s="25">
        <f>E24+'L-7 KEY NEW(JPVE)'!$M6</f>
        <v>0.6769212962962924</v>
      </c>
      <c r="F25" s="25">
        <f>F24+'L-7 KEY NEW(JPVE)'!$M6</f>
        <v>0.6993171296296254</v>
      </c>
      <c r="G25" s="25">
        <f>G24+'L-7 KEY NEW(JPVE)'!$M6</f>
        <v>0.7217129629629584</v>
      </c>
      <c r="H25" s="25">
        <f>H24+'L-7 KEY NEW(JPVE)'!$M6</f>
        <v>0.7441087962962915</v>
      </c>
      <c r="I25" s="25">
        <f>I24+'L-7 KEY NEW(JPVE)'!$M6</f>
        <v>0.7665046296296244</v>
      </c>
      <c r="J25" s="25">
        <f>J24+'L-7 KEY NEW(JPVE)'!$M6</f>
        <v>0.7889004629629573</v>
      </c>
      <c r="K25" s="25">
        <f>K24+'L-7 KEY NEW(JPVE)'!$M6</f>
        <v>0.8236226851851854</v>
      </c>
      <c r="L25" s="25">
        <f>L24+'L-7 KEY NEW(JPVE)'!$M6</f>
        <v>0.8460185185185184</v>
      </c>
      <c r="M25" s="25">
        <f>M24+'L-7 KEY NEW(JPVE)'!$M6</f>
        <v>0.8684143518518515</v>
      </c>
      <c r="N25" s="26">
        <f>N24+'L-7 KEY NEW(JPVE)'!$M6</f>
        <v>0.8908101851851854</v>
      </c>
    </row>
    <row r="26" spans="8:8" ht="15.95" customHeight="1">
      <c r="A26" s="24" t="s">
        <v>3</v>
      </c>
      <c r="B26" s="25">
        <f>B25+'L-7 KEY NEW(JPVE)'!$M7</f>
        <v>0.6116319444444411</v>
      </c>
      <c r="C26" s="25">
        <f>C25+'L-7 KEY NEW(JPVE)'!$M7</f>
        <v>0.6340277777777742</v>
      </c>
      <c r="D26" s="25">
        <f>D25+'L-7 KEY NEW(JPVE)'!$M7</f>
        <v>0.6564236111111071</v>
      </c>
      <c r="E26" s="25">
        <f>E25+'L-7 KEY NEW(JPVE)'!$M7</f>
        <v>0.6788194444444402</v>
      </c>
      <c r="F26" s="25">
        <f>F25+'L-7 KEY NEW(JPVE)'!$M7</f>
        <v>0.7012152777777731</v>
      </c>
      <c r="G26" s="25">
        <f>G25+'L-7 KEY NEW(JPVE)'!$M7</f>
        <v>0.7236111111111061</v>
      </c>
      <c r="H26" s="25">
        <f>H25+'L-7 KEY NEW(JPVE)'!$M7</f>
        <v>0.7460069444444402</v>
      </c>
      <c r="I26" s="25">
        <f>I25+'L-7 KEY NEW(JPVE)'!$M7</f>
        <v>0.7684027777777721</v>
      </c>
      <c r="J26" s="25">
        <f>J25+'L-7 KEY NEW(JPVE)'!$M7</f>
        <v>0.7907986111111052</v>
      </c>
      <c r="K26" s="25">
        <f>K25+'L-7 KEY NEW(JPVE)'!$M7</f>
        <v>0.8255208333333331</v>
      </c>
      <c r="L26" s="25">
        <f>L25+'L-7 KEY NEW(JPVE)'!$M7</f>
        <v>0.8479166666666661</v>
      </c>
      <c r="M26" s="25">
        <f>M25+'L-7 KEY NEW(JPVE)'!$M7</f>
        <v>0.8703125000000002</v>
      </c>
      <c r="N26" s="26">
        <f>N25+'L-7 KEY NEW(JPVE)'!$M7</f>
        <v>0.8927083333333331</v>
      </c>
    </row>
    <row r="27" spans="8:8" ht="15.75" customHeight="1">
      <c r="A27" s="40" t="s">
        <v>8</v>
      </c>
      <c r="B27" s="41" t="s">
        <v>10</v>
      </c>
      <c r="C27" s="41" t="s">
        <v>10</v>
      </c>
      <c r="D27" s="41" t="s">
        <v>10</v>
      </c>
      <c r="E27" s="41" t="s">
        <v>10</v>
      </c>
      <c r="F27" s="41" t="s">
        <v>10</v>
      </c>
      <c r="G27" s="41" t="s">
        <v>10</v>
      </c>
      <c r="H27" s="41" t="s">
        <v>10</v>
      </c>
      <c r="I27" s="41" t="s">
        <v>10</v>
      </c>
      <c r="J27" s="41" t="s">
        <v>10</v>
      </c>
      <c r="K27" s="41" t="s">
        <v>10</v>
      </c>
      <c r="L27" s="41" t="s">
        <v>10</v>
      </c>
      <c r="M27" s="41" t="s">
        <v>10</v>
      </c>
      <c r="N27" s="41" t="s">
        <v>10</v>
      </c>
    </row>
    <row r="28" spans="8:8" ht="14.55">
      <c r="A28" s="42"/>
      <c r="B28" s="43"/>
      <c r="C28" s="43"/>
      <c r="D28" s="43"/>
      <c r="E28" s="47"/>
      <c r="F28" s="47"/>
      <c r="G28" s="47"/>
      <c r="H28" s="47"/>
      <c r="I28" s="47"/>
      <c r="J28" s="43"/>
      <c r="K28" s="43"/>
      <c r="L28" s="43"/>
      <c r="M28" s="43"/>
      <c r="N28" s="44"/>
    </row>
    <row r="29" spans="8:8" ht="21.75">
      <c r="A29" s="48" t="s">
        <v>1</v>
      </c>
      <c r="B29" s="49">
        <v>799.0</v>
      </c>
      <c r="C29" s="49">
        <v>799.0</v>
      </c>
      <c r="D29" s="50">
        <v>799.0</v>
      </c>
      <c r="E29" s="51"/>
      <c r="F29" s="52"/>
      <c r="G29" s="52"/>
      <c r="H29" s="52"/>
      <c r="I29" s="53"/>
      <c r="J29" s="54" t="s">
        <v>11</v>
      </c>
      <c r="K29" s="55"/>
      <c r="L29" s="55"/>
      <c r="M29" s="55"/>
      <c r="N29" s="56"/>
    </row>
    <row r="30" spans="8:8" ht="15.0" customHeight="1">
      <c r="A30" s="18" t="s">
        <v>3</v>
      </c>
      <c r="B30" s="21">
        <f>N26+'L-7 KEY NEW(JPVE)'!$T$20</f>
        <v>0.8937499999999997</v>
      </c>
      <c r="C30" s="21">
        <v>0.888888888888889</v>
      </c>
      <c r="D30" s="22">
        <v>0.916666666666667</v>
      </c>
      <c r="E30" s="57"/>
      <c r="F30" s="58"/>
      <c r="G30" s="58"/>
      <c r="H30" s="58"/>
      <c r="I30" s="59"/>
      <c r="J30" s="60" t="s">
        <v>12</v>
      </c>
      <c r="K30" s="61"/>
      <c r="L30" s="61" t="s">
        <v>13</v>
      </c>
      <c r="M30" s="62" t="s">
        <v>14</v>
      </c>
      <c r="N30" s="63" t="s">
        <v>15</v>
      </c>
    </row>
    <row r="31" spans="8:8" ht="15.0" customHeight="1">
      <c r="A31" s="24" t="s">
        <v>5</v>
      </c>
      <c r="B31" s="25">
        <f>B30+'L-7 KEY NEW(JPVE)'!$D5</f>
        <v>0.8961111111111112</v>
      </c>
      <c r="C31" s="25">
        <f>C30+'L-7 KEY NEW(JPVE)'!$D5</f>
        <v>0.8912500000000001</v>
      </c>
      <c r="D31" s="26">
        <f>D30+'L-7 KEY NEW(JPVE)'!$D5</f>
        <v>0.9190277777777781</v>
      </c>
      <c r="E31" s="57"/>
      <c r="F31" s="58"/>
      <c r="G31" s="58"/>
      <c r="H31" s="58"/>
      <c r="I31" s="59"/>
      <c r="J31" s="64"/>
      <c r="K31" s="65"/>
      <c r="L31" s="65"/>
      <c r="M31" s="66"/>
      <c r="N31" s="67"/>
    </row>
    <row r="32" spans="8:8" ht="15.0" customHeight="1">
      <c r="A32" s="24" t="s">
        <v>6</v>
      </c>
      <c r="B32" s="25">
        <f>B31+'L-7 KEY NEW(JPVE)'!$D6</f>
        <v>0.8991435185185184</v>
      </c>
      <c r="C32" s="25">
        <f>C31+'L-7 KEY NEW(JPVE)'!$D6</f>
        <v>0.8942824074074074</v>
      </c>
      <c r="D32" s="26">
        <f>D31+'L-7 KEY NEW(JPVE)'!$D6</f>
        <v>0.9220601851851854</v>
      </c>
      <c r="E32" s="57"/>
      <c r="F32" s="58"/>
      <c r="G32" s="58"/>
      <c r="H32" s="58"/>
      <c r="I32" s="59"/>
      <c r="J32" s="64" t="s">
        <v>16</v>
      </c>
      <c r="K32" s="65"/>
      <c r="L32" s="68">
        <v>4.96</v>
      </c>
      <c r="M32" s="69">
        <v>27.0</v>
      </c>
      <c r="N32" s="70">
        <f>L32*M32</f>
        <v>133.92</v>
      </c>
    </row>
    <row r="33" spans="8:8" ht="15.0" customHeight="1">
      <c r="A33" s="18" t="s">
        <v>7</v>
      </c>
      <c r="B33" s="25">
        <f>B32+'L-7 KEY NEW(JPVE)'!$D7</f>
        <v>0.9045138888888884</v>
      </c>
      <c r="C33" s="25">
        <f>C32+'L-7 KEY NEW(JPVE)'!$D7</f>
        <v>0.8996527777777774</v>
      </c>
      <c r="D33" s="26">
        <f>D32+'L-7 KEY NEW(JPVE)'!$D7</f>
        <v>0.9274305555555553</v>
      </c>
      <c r="E33" s="57"/>
      <c r="F33" s="58"/>
      <c r="G33" s="58"/>
      <c r="H33" s="58"/>
      <c r="I33" s="59"/>
      <c r="J33" s="64" t="s">
        <v>17</v>
      </c>
      <c r="K33" s="65"/>
      <c r="L33" s="68">
        <v>4.96</v>
      </c>
      <c r="M33" s="69">
        <v>28.0</v>
      </c>
      <c r="N33" s="70">
        <f>L33*M33</f>
        <v>138.88</v>
      </c>
    </row>
    <row r="34" spans="8:8" ht="15.0" customHeight="1">
      <c r="A34" s="30" t="s">
        <v>8</v>
      </c>
      <c r="B34" s="31" t="s">
        <v>2</v>
      </c>
      <c r="C34" s="31" t="s">
        <v>2</v>
      </c>
      <c r="D34" s="31" t="s">
        <v>2</v>
      </c>
      <c r="E34" s="71"/>
      <c r="F34" s="72"/>
      <c r="G34" s="72"/>
      <c r="H34" s="72"/>
      <c r="I34" s="73"/>
      <c r="J34" s="74" t="s">
        <v>18</v>
      </c>
      <c r="K34" s="75"/>
      <c r="L34" s="75"/>
      <c r="M34" s="76">
        <f>SUM(M32:M33)</f>
        <v>55.0</v>
      </c>
      <c r="N34" s="77">
        <f>SUM(N32:N33)</f>
        <v>272.79999999999995</v>
      </c>
    </row>
    <row r="35" spans="8:8" ht="21.75">
      <c r="A35" s="34" t="s">
        <v>9</v>
      </c>
      <c r="B35" s="46">
        <f t="shared" si="2" ref="B35:G35">B29</f>
        <v>799.0</v>
      </c>
      <c r="C35" s="46">
        <f t="shared" si="2"/>
        <v>799.0</v>
      </c>
      <c r="D35" s="36">
        <f t="shared" si="3" ref="D35">D29</f>
        <v>799.0</v>
      </c>
      <c r="E35" s="78" t="s">
        <v>19</v>
      </c>
      <c r="F35" s="79"/>
      <c r="G35" s="79"/>
      <c r="H35" s="79"/>
      <c r="I35" s="80"/>
      <c r="J35" s="81" t="s">
        <v>20</v>
      </c>
      <c r="K35" s="82"/>
      <c r="L35" s="82"/>
      <c r="M35" s="82"/>
      <c r="N35" s="83"/>
    </row>
    <row r="36" spans="8:8" ht="15.95" customHeight="1">
      <c r="A36" s="24" t="s">
        <v>7</v>
      </c>
      <c r="B36" s="25">
        <f>B33+'L-7 KEY NEW(JPVE)'!$T$20</f>
        <v>0.9055555555555547</v>
      </c>
      <c r="C36" s="25">
        <v>0.902777777777778</v>
      </c>
      <c r="D36" s="84" t="s">
        <v>21</v>
      </c>
      <c r="E36" s="85" t="s">
        <v>22</v>
      </c>
      <c r="F36" s="86"/>
      <c r="G36" s="86"/>
      <c r="H36" s="86"/>
      <c r="I36" s="87"/>
      <c r="J36" s="88" t="s">
        <v>23</v>
      </c>
      <c r="K36" s="89" t="s">
        <v>23</v>
      </c>
      <c r="L36" s="89" t="s">
        <v>24</v>
      </c>
      <c r="M36" s="89"/>
      <c r="N36" s="90" t="s">
        <v>25</v>
      </c>
    </row>
    <row r="37" spans="8:8" ht="15.95" customHeight="1">
      <c r="A37" s="24" t="s">
        <v>6</v>
      </c>
      <c r="B37" s="25">
        <f>B36+'L-7 KEY NEW(JPVE)'!$M5</f>
        <v>0.9101736111111105</v>
      </c>
      <c r="C37" s="25">
        <f>C36+'L-7 KEY NEW(JPVE)'!$M5</f>
        <v>0.9073958333333335</v>
      </c>
      <c r="D37" s="84"/>
      <c r="E37" s="91"/>
      <c r="F37" s="92"/>
      <c r="G37" s="92"/>
      <c r="H37" s="92"/>
      <c r="I37" s="93"/>
      <c r="J37" s="94" t="s">
        <v>10</v>
      </c>
      <c r="K37" s="95" t="s">
        <v>2</v>
      </c>
      <c r="L37" s="21">
        <v>0.333333333333333</v>
      </c>
      <c r="M37" s="21"/>
      <c r="N37" s="22">
        <v>0.916666666666667</v>
      </c>
      <c r="Q37" s="96"/>
      <c r="R37" s="25"/>
      <c r="S37" s="25"/>
      <c r="T37" s="25"/>
      <c r="U37" s="26"/>
    </row>
    <row r="38" spans="8:8" ht="15.95" customHeight="1">
      <c r="A38" s="24" t="s">
        <v>5</v>
      </c>
      <c r="B38" s="25">
        <f>B37+'L-7 KEY NEW(JPVE)'!$M6</f>
        <v>0.9132060185185183</v>
      </c>
      <c r="C38" s="25">
        <f>C37+'L-7 KEY NEW(JPVE)'!$M6</f>
        <v>0.9104282407407414</v>
      </c>
      <c r="D38" s="97"/>
      <c r="E38" s="98" t="s">
        <v>26</v>
      </c>
      <c r="F38" s="99"/>
      <c r="G38" s="99"/>
      <c r="H38" s="99" t="s">
        <v>27</v>
      </c>
      <c r="I38" s="100"/>
      <c r="J38" s="101" t="s">
        <v>2</v>
      </c>
      <c r="K38" s="95" t="s">
        <v>10</v>
      </c>
      <c r="L38" s="21">
        <v>0.343923611111111</v>
      </c>
      <c r="M38" s="21"/>
      <c r="N38" s="22">
        <v>0.902777777777778</v>
      </c>
    </row>
    <row r="39" spans="8:8" ht="15.95" customHeight="1">
      <c r="A39" s="24" t="s">
        <v>3</v>
      </c>
      <c r="B39" s="25">
        <f>B38+'L-7 KEY NEW(JPVE)'!$M7</f>
        <v>0.9151041666666662</v>
      </c>
      <c r="C39" s="25">
        <f>C38+'L-7 KEY NEW(JPVE)'!$M7</f>
        <v>0.9123263888888892</v>
      </c>
      <c r="D39" s="97"/>
      <c r="E39" s="102"/>
      <c r="F39" s="103"/>
      <c r="G39" s="103"/>
      <c r="H39" s="103"/>
      <c r="I39" s="104"/>
      <c r="J39" s="101" t="s">
        <v>28</v>
      </c>
      <c r="K39" s="95" t="s">
        <v>10</v>
      </c>
      <c r="L39" s="21">
        <v>0.25</v>
      </c>
      <c r="M39" s="21"/>
      <c r="N39" s="22">
        <v>0.829166666666667</v>
      </c>
    </row>
    <row r="40" spans="8:8" ht="26.1" customHeight="1">
      <c r="A40" s="105" t="s">
        <v>8</v>
      </c>
      <c r="B40" s="106" t="s">
        <v>10</v>
      </c>
      <c r="C40" s="106" t="s">
        <v>10</v>
      </c>
      <c r="D40" s="107" t="s">
        <v>29</v>
      </c>
      <c r="E40" s="108" t="s">
        <v>30</v>
      </c>
      <c r="F40" s="109"/>
      <c r="G40" s="109"/>
      <c r="H40" s="110" t="s">
        <v>31</v>
      </c>
      <c r="I40" s="111"/>
      <c r="J40" s="112" t="s">
        <v>32</v>
      </c>
      <c r="K40" s="113" t="s">
        <v>10</v>
      </c>
      <c r="L40" s="109">
        <v>0.25</v>
      </c>
      <c r="M40" s="109"/>
      <c r="N40" s="114">
        <v>0.820833333333333</v>
      </c>
    </row>
  </sheetData>
  <mergeCells count="27">
    <mergeCell ref="A1:N1"/>
    <mergeCell ref="B4:B7"/>
    <mergeCell ref="A15:N15"/>
    <mergeCell ref="Q37:U37"/>
    <mergeCell ref="J29:N29"/>
    <mergeCell ref="E40:G40"/>
    <mergeCell ref="D36:D39"/>
    <mergeCell ref="A28:N28"/>
    <mergeCell ref="H40:I40"/>
    <mergeCell ref="N30:N31"/>
    <mergeCell ref="E36:I36"/>
    <mergeCell ref="H38:I39"/>
    <mergeCell ref="E38:G39"/>
    <mergeCell ref="M30:M31"/>
    <mergeCell ref="J35:N35"/>
    <mergeCell ref="L30:L31"/>
    <mergeCell ref="L40:M40"/>
    <mergeCell ref="E37:I37"/>
    <mergeCell ref="J32:K32"/>
    <mergeCell ref="L38:M38"/>
    <mergeCell ref="L36:M36"/>
    <mergeCell ref="J33:K33"/>
    <mergeCell ref="L37:M37"/>
    <mergeCell ref="J34:L34"/>
    <mergeCell ref="J30:K31"/>
    <mergeCell ref="E35:I35"/>
    <mergeCell ref="L39:M39"/>
  </mergeCells>
  <conditionalFormatting sqref="A8 A40 A14 A21 A27 A34 P8:AV8">
    <cfRule type="containsText" text="MUPR DN" operator="containsText" priority="104" dxfId="0">
      <formula>NOT(ISERROR(SEARCH("MUPR DN",A8)))</formula>
    </cfRule>
    <cfRule type="containsText" text="NIZM UP" operator="containsText" priority="103" dxfId="1">
      <formula>NOT(ISERROR(SEARCH("NIZM UP",A8)))</formula>
    </cfRule>
    <cfRule type="containsText" text="SVVR DN" operator="containsText" priority="105" dxfId="2">
      <formula>NOT(ISERROR(SEARCH("SVVR DN",A8)))</formula>
    </cfRule>
  </conditionalFormatting>
  <conditionalFormatting sqref="B8:N8 B34:J34 B21:N21 B27:N27 B40:C40 B14:N14 P14:AN14">
    <cfRule type="containsText" text="VND" operator="containsText" priority="92" dxfId="3">
      <formula>NOT(ISERROR(SEARCH("VND",B8)))</formula>
    </cfRule>
    <cfRule type="containsText" text="MKPD" operator="containsText" priority="93" dxfId="4">
      <formula>NOT(ISERROR(SEARCH("MKPD",B8)))</formula>
    </cfRule>
    <cfRule type="containsText" text="MKPR 3RD" operator="containsText" priority="94" dxfId="5">
      <formula>NOT(ISERROR(SEARCH("MKPR 3RD",B8)))</formula>
    </cfRule>
  </conditionalFormatting>
  <conditionalFormatting sqref="B2:M2 B9:M9 N2:N3 B16:N16 B29:I29">
    <cfRule type="cellIs" operator="equal" priority="112" dxfId="6">
      <formula>$A$2</formula>
    </cfRule>
  </conditionalFormatting>
  <pageMargins left="0.41" right="0.19" top="0.2" bottom="0.314583333333333" header="0.156944444444444" footer="0.156944444444444"/>
  <pageSetup paperSize="9" scale="83" orientation="landscape"/>
  <headerFooter>
    <oddFooter>&amp;CPage &amp;P of &amp;N&amp;RMKPR-JPVE LOOP 33 MINS HEADWAY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Q48"/>
  <sheetViews>
    <sheetView workbookViewId="0">
      <pane ySplit="3" topLeftCell="A4" state="frozen" activePane="bottomLeft"/>
      <selection pane="bottomLeft" activeCell="G54" sqref="G54"/>
    </sheetView>
  </sheetViews>
  <sheetFormatPr defaultRowHeight="13.8" defaultColWidth="9"/>
  <cols>
    <col min="1" max="1" customWidth="0" width="9.136719" style="115"/>
    <col min="2" max="2" customWidth="1" width="8.425781" style="116"/>
    <col min="3" max="3" customWidth="1" width="8.136719" style="116"/>
    <col min="4" max="4" customWidth="1" width="9.7109375" style="116"/>
    <col min="5" max="5" customWidth="1" width="13.109375" style="116"/>
    <col min="6" max="6" customWidth="1" width="18.109375" style="116"/>
    <col min="7" max="7" customWidth="1" width="16.285156" style="116"/>
    <col min="8" max="8" customWidth="1" width="22.21875" style="116"/>
    <col min="9" max="9" customWidth="1" width="26.554688" style="116"/>
    <col min="10" max="10" customWidth="1" width="28.441406" style="116"/>
    <col min="11" max="16384" customWidth="0" width="9.136719" style="116"/>
  </cols>
  <sheetData>
    <row r="1" spans="8:8" ht="24.95" customHeight="1">
      <c r="A1" s="117" t="s">
        <v>33</v>
      </c>
      <c r="B1" s="118"/>
      <c r="C1" s="118"/>
      <c r="D1" s="118"/>
      <c r="E1" s="118"/>
      <c r="F1" s="118"/>
      <c r="G1" s="118"/>
      <c r="H1" s="119"/>
      <c r="I1" s="120" t="s">
        <v>34</v>
      </c>
      <c r="J1" s="121"/>
    </row>
    <row r="2" spans="8:8" ht="28.0" customHeight="1">
      <c r="A2" s="122" t="s">
        <v>35</v>
      </c>
      <c r="B2" s="123" t="s">
        <v>36</v>
      </c>
      <c r="C2" s="122" t="s">
        <v>37</v>
      </c>
      <c r="D2" s="124" t="s">
        <v>38</v>
      </c>
      <c r="E2" s="124"/>
      <c r="F2" s="124"/>
      <c r="G2" s="122" t="s">
        <v>39</v>
      </c>
      <c r="H2" s="122" t="s">
        <v>40</v>
      </c>
      <c r="I2" s="125" t="s">
        <v>41</v>
      </c>
      <c r="J2" s="126"/>
    </row>
    <row r="3" spans="8:8" ht="15.0" customHeight="1">
      <c r="A3" s="122"/>
      <c r="B3" s="123"/>
      <c r="C3" s="122"/>
      <c r="D3" s="124" t="s">
        <v>42</v>
      </c>
      <c r="E3" s="122" t="s">
        <v>43</v>
      </c>
      <c r="F3" s="124" t="s">
        <v>44</v>
      </c>
      <c r="G3" s="122"/>
      <c r="H3" s="122"/>
      <c r="I3" s="127"/>
      <c r="J3" s="128"/>
    </row>
    <row r="4" spans="8:8" s="116" ht="39.0" customFormat="1" customHeight="1">
      <c r="A4" s="115">
        <v>1.0</v>
      </c>
      <c r="B4" s="115">
        <v>799.0</v>
      </c>
      <c r="C4" s="115"/>
      <c r="D4" s="115" t="s">
        <v>3</v>
      </c>
      <c r="E4" s="129" t="s">
        <v>45</v>
      </c>
      <c r="F4" s="115"/>
      <c r="G4" s="130" t="s">
        <v>16</v>
      </c>
      <c r="I4" s="131" t="s">
        <v>46</v>
      </c>
      <c r="J4" s="132" t="s">
        <v>3</v>
      </c>
    </row>
    <row r="5" spans="8:8" ht="32.0" customHeight="1">
      <c r="A5" s="115">
        <v>2.0</v>
      </c>
      <c r="B5" s="115">
        <v>799.0</v>
      </c>
      <c r="C5" s="115"/>
      <c r="D5" s="133" t="s">
        <v>7</v>
      </c>
      <c r="E5" s="134">
        <v>0.347222222222222</v>
      </c>
      <c r="F5" s="115"/>
      <c r="G5" s="130" t="s">
        <v>17</v>
      </c>
      <c r="H5" s="115"/>
      <c r="I5" s="135" t="s">
        <v>46</v>
      </c>
      <c r="J5" s="132" t="s">
        <v>7</v>
      </c>
    </row>
    <row r="6" spans="8:8" ht="32.0" customHeight="1">
      <c r="A6" s="115">
        <v>3.0</v>
      </c>
      <c r="B6" s="115">
        <v>799.0</v>
      </c>
      <c r="C6" s="115"/>
      <c r="D6" s="115" t="s">
        <v>3</v>
      </c>
      <c r="E6" s="136">
        <v>0.358333333333333</v>
      </c>
      <c r="F6" s="115"/>
      <c r="G6" s="130" t="s">
        <v>16</v>
      </c>
      <c r="H6" s="115"/>
      <c r="I6" s="135" t="s">
        <v>46</v>
      </c>
      <c r="J6" s="132" t="s">
        <v>3</v>
      </c>
    </row>
    <row r="7" spans="8:8" ht="32.0" customHeight="1">
      <c r="A7" s="115">
        <v>4.0</v>
      </c>
      <c r="B7" s="115">
        <v>799.0</v>
      </c>
      <c r="C7" s="115"/>
      <c r="D7" s="133" t="s">
        <v>7</v>
      </c>
      <c r="E7" s="134">
        <f>E5+$A$48</f>
        <v>0.37083333333333307</v>
      </c>
      <c r="F7" s="115"/>
      <c r="G7" s="130" t="s">
        <v>17</v>
      </c>
      <c r="H7" s="115"/>
      <c r="I7" s="135" t="s">
        <v>46</v>
      </c>
      <c r="J7" s="132" t="s">
        <v>7</v>
      </c>
    </row>
    <row r="8" spans="8:8" ht="32.0" customHeight="1">
      <c r="A8" s="115">
        <v>5.0</v>
      </c>
      <c r="B8" s="115">
        <v>799.0</v>
      </c>
      <c r="C8" s="115"/>
      <c r="D8" s="115" t="s">
        <v>3</v>
      </c>
      <c r="E8" s="136">
        <f>E6+$A$48</f>
        <v>0.3819444444444441</v>
      </c>
      <c r="F8" s="115"/>
      <c r="G8" s="130" t="s">
        <v>16</v>
      </c>
      <c r="H8" s="115"/>
      <c r="I8" s="135" t="s">
        <v>46</v>
      </c>
      <c r="J8" s="132" t="s">
        <v>3</v>
      </c>
    </row>
    <row r="9" spans="8:8" ht="32.0" customHeight="1">
      <c r="A9" s="115">
        <v>6.0</v>
      </c>
      <c r="B9" s="115">
        <v>799.0</v>
      </c>
      <c r="C9" s="115"/>
      <c r="D9" s="133" t="s">
        <v>7</v>
      </c>
      <c r="E9" s="134">
        <f t="shared" si="0" ref="E9:E47">E7+$A$48</f>
        <v>0.3944444444444441</v>
      </c>
      <c r="F9" s="115"/>
      <c r="G9" s="130" t="s">
        <v>17</v>
      </c>
      <c r="H9" s="115"/>
      <c r="I9" s="135" t="s">
        <v>46</v>
      </c>
      <c r="J9" s="132" t="s">
        <v>7</v>
      </c>
    </row>
    <row r="10" spans="8:8" ht="32.0" customHeight="1">
      <c r="A10" s="115">
        <v>7.0</v>
      </c>
      <c r="B10" s="115">
        <v>799.0</v>
      </c>
      <c r="C10" s="115"/>
      <c r="D10" s="115" t="s">
        <v>3</v>
      </c>
      <c r="E10" s="136">
        <f t="shared" si="0"/>
        <v>0.40555555555555506</v>
      </c>
      <c r="F10" s="115"/>
      <c r="G10" s="130" t="s">
        <v>16</v>
      </c>
      <c r="H10" s="115"/>
      <c r="I10" s="135" t="s">
        <v>46</v>
      </c>
      <c r="J10" s="132" t="s">
        <v>3</v>
      </c>
    </row>
    <row r="11" spans="8:8" ht="32.0" customHeight="1">
      <c r="A11" s="115">
        <v>8.0</v>
      </c>
      <c r="B11" s="115">
        <v>799.0</v>
      </c>
      <c r="C11" s="115"/>
      <c r="D11" s="133" t="s">
        <v>7</v>
      </c>
      <c r="E11" s="134">
        <f t="shared" si="0"/>
        <v>0.41805555555555507</v>
      </c>
      <c r="F11" s="115"/>
      <c r="G11" s="130" t="s">
        <v>17</v>
      </c>
      <c r="H11" s="115"/>
      <c r="I11" s="135" t="s">
        <v>46</v>
      </c>
      <c r="J11" s="132" t="s">
        <v>7</v>
      </c>
    </row>
    <row r="12" spans="8:8" ht="32.0" customHeight="1">
      <c r="A12" s="115">
        <v>9.0</v>
      </c>
      <c r="B12" s="115">
        <v>799.0</v>
      </c>
      <c r="C12" s="115"/>
      <c r="D12" s="115" t="s">
        <v>3</v>
      </c>
      <c r="E12" s="136">
        <f t="shared" si="0"/>
        <v>0.4291666666666661</v>
      </c>
      <c r="F12" s="115"/>
      <c r="G12" s="130" t="s">
        <v>16</v>
      </c>
      <c r="H12" s="115"/>
      <c r="I12" s="135" t="s">
        <v>46</v>
      </c>
      <c r="J12" s="132" t="s">
        <v>3</v>
      </c>
    </row>
    <row r="13" spans="8:8" ht="32.0" customHeight="1">
      <c r="A13" s="115">
        <v>10.0</v>
      </c>
      <c r="B13" s="115">
        <v>799.0</v>
      </c>
      <c r="C13" s="115"/>
      <c r="D13" s="133" t="s">
        <v>7</v>
      </c>
      <c r="E13" s="134">
        <f t="shared" si="0"/>
        <v>0.4416666666666661</v>
      </c>
      <c r="F13" s="115"/>
      <c r="G13" s="130" t="s">
        <v>17</v>
      </c>
      <c r="H13" s="115"/>
      <c r="I13" s="135" t="s">
        <v>46</v>
      </c>
      <c r="J13" s="132" t="s">
        <v>7</v>
      </c>
    </row>
    <row r="14" spans="8:8" ht="32.0" customHeight="1">
      <c r="A14" s="115">
        <v>11.0</v>
      </c>
      <c r="B14" s="115">
        <v>799.0</v>
      </c>
      <c r="C14" s="115"/>
      <c r="D14" s="115" t="s">
        <v>3</v>
      </c>
      <c r="E14" s="136">
        <f t="shared" si="0"/>
        <v>0.45277777777777706</v>
      </c>
      <c r="F14" s="115"/>
      <c r="G14" s="130" t="s">
        <v>16</v>
      </c>
      <c r="H14" s="115"/>
      <c r="I14" s="135" t="s">
        <v>46</v>
      </c>
      <c r="J14" s="132" t="s">
        <v>3</v>
      </c>
    </row>
    <row r="15" spans="8:8" ht="32.0" customHeight="1">
      <c r="A15" s="115">
        <v>12.0</v>
      </c>
      <c r="B15" s="115">
        <v>799.0</v>
      </c>
      <c r="C15" s="115"/>
      <c r="D15" s="133" t="s">
        <v>7</v>
      </c>
      <c r="E15" s="134">
        <f t="shared" si="0"/>
        <v>0.46527777777777707</v>
      </c>
      <c r="F15" s="115"/>
      <c r="G15" s="130" t="s">
        <v>17</v>
      </c>
      <c r="H15" s="115"/>
      <c r="I15" s="135" t="s">
        <v>46</v>
      </c>
      <c r="J15" s="132" t="s">
        <v>7</v>
      </c>
    </row>
    <row r="16" spans="8:8" ht="32.0" customHeight="1">
      <c r="A16" s="115">
        <v>13.0</v>
      </c>
      <c r="B16" s="115">
        <v>799.0</v>
      </c>
      <c r="C16" s="115"/>
      <c r="D16" s="115" t="s">
        <v>3</v>
      </c>
      <c r="E16" s="136">
        <f t="shared" si="0"/>
        <v>0.4763888888888881</v>
      </c>
      <c r="F16" s="115"/>
      <c r="G16" s="130" t="s">
        <v>16</v>
      </c>
      <c r="H16" s="115"/>
      <c r="I16" s="135" t="s">
        <v>46</v>
      </c>
      <c r="J16" s="132" t="s">
        <v>3</v>
      </c>
    </row>
    <row r="17" spans="8:8" ht="32.0" customHeight="1">
      <c r="A17" s="115">
        <v>14.0</v>
      </c>
      <c r="B17" s="115">
        <v>799.0</v>
      </c>
      <c r="C17" s="115"/>
      <c r="D17" s="133" t="s">
        <v>7</v>
      </c>
      <c r="E17" s="134">
        <f t="shared" si="0"/>
        <v>0.4888888888888881</v>
      </c>
      <c r="F17" s="115"/>
      <c r="G17" s="130" t="s">
        <v>17</v>
      </c>
      <c r="H17" s="115"/>
      <c r="I17" s="135" t="s">
        <v>46</v>
      </c>
      <c r="J17" s="132" t="s">
        <v>7</v>
      </c>
    </row>
    <row r="18" spans="8:8" ht="32.0" customHeight="1">
      <c r="A18" s="115">
        <v>15.0</v>
      </c>
      <c r="B18" s="115">
        <v>799.0</v>
      </c>
      <c r="C18" s="115"/>
      <c r="D18" s="115" t="s">
        <v>3</v>
      </c>
      <c r="E18" s="136">
        <f t="shared" si="0"/>
        <v>0.49999999999999906</v>
      </c>
      <c r="F18" s="115"/>
      <c r="G18" s="130" t="s">
        <v>16</v>
      </c>
      <c r="H18" s="115"/>
      <c r="I18" s="135" t="s">
        <v>46</v>
      </c>
      <c r="J18" s="132" t="s">
        <v>3</v>
      </c>
    </row>
    <row r="19" spans="8:8" ht="32.0" customHeight="1">
      <c r="A19" s="115">
        <v>16.0</v>
      </c>
      <c r="B19" s="115">
        <v>799.0</v>
      </c>
      <c r="C19" s="115"/>
      <c r="D19" s="133" t="s">
        <v>7</v>
      </c>
      <c r="E19" s="134">
        <f t="shared" si="0"/>
        <v>0.5124999999999991</v>
      </c>
      <c r="F19" s="115"/>
      <c r="G19" s="130" t="s">
        <v>17</v>
      </c>
      <c r="H19" s="115"/>
      <c r="I19" s="135" t="s">
        <v>46</v>
      </c>
      <c r="J19" s="132" t="s">
        <v>7</v>
      </c>
    </row>
    <row r="20" spans="8:8" ht="32.0" customHeight="1">
      <c r="A20" s="115">
        <v>17.0</v>
      </c>
      <c r="B20" s="115">
        <v>799.0</v>
      </c>
      <c r="C20" s="115"/>
      <c r="D20" s="115" t="s">
        <v>3</v>
      </c>
      <c r="E20" s="136">
        <f t="shared" si="0"/>
        <v>0.5236111111111101</v>
      </c>
      <c r="F20" s="115"/>
      <c r="G20" s="130" t="s">
        <v>16</v>
      </c>
      <c r="H20" s="115"/>
      <c r="I20" s="135" t="s">
        <v>46</v>
      </c>
      <c r="J20" s="132" t="s">
        <v>3</v>
      </c>
    </row>
    <row r="21" spans="8:8" ht="32.0" customHeight="1">
      <c r="A21" s="115">
        <v>18.0</v>
      </c>
      <c r="B21" s="115">
        <v>799.0</v>
      </c>
      <c r="C21" s="115"/>
      <c r="D21" s="133" t="s">
        <v>7</v>
      </c>
      <c r="E21" s="134">
        <f t="shared" si="0"/>
        <v>0.5361111111111101</v>
      </c>
      <c r="F21" s="115"/>
      <c r="G21" s="130" t="s">
        <v>17</v>
      </c>
      <c r="H21" s="115"/>
      <c r="I21" s="135" t="s">
        <v>46</v>
      </c>
      <c r="J21" s="132" t="s">
        <v>7</v>
      </c>
    </row>
    <row r="22" spans="8:8" ht="32.0" customHeight="1">
      <c r="A22" s="115">
        <v>19.0</v>
      </c>
      <c r="B22" s="115">
        <v>799.0</v>
      </c>
      <c r="C22" s="115"/>
      <c r="D22" s="115" t="s">
        <v>3</v>
      </c>
      <c r="E22" s="136">
        <f t="shared" si="0"/>
        <v>0.5472222222222212</v>
      </c>
      <c r="F22" s="115"/>
      <c r="G22" s="130" t="s">
        <v>16</v>
      </c>
      <c r="H22" s="115"/>
      <c r="I22" s="135" t="s">
        <v>46</v>
      </c>
      <c r="J22" s="132" t="s">
        <v>3</v>
      </c>
    </row>
    <row r="23" spans="8:8" ht="32.0" customHeight="1">
      <c r="A23" s="115">
        <v>20.0</v>
      </c>
      <c r="B23" s="115">
        <v>799.0</v>
      </c>
      <c r="C23" s="115"/>
      <c r="D23" s="133" t="s">
        <v>7</v>
      </c>
      <c r="E23" s="134">
        <f t="shared" si="0"/>
        <v>0.5597222222222211</v>
      </c>
      <c r="F23" s="115"/>
      <c r="G23" s="130" t="s">
        <v>17</v>
      </c>
      <c r="H23" s="115"/>
      <c r="I23" s="135" t="s">
        <v>46</v>
      </c>
      <c r="J23" s="132" t="s">
        <v>7</v>
      </c>
    </row>
    <row r="24" spans="8:8" ht="32.0" customHeight="1">
      <c r="A24" s="115">
        <v>21.0</v>
      </c>
      <c r="B24" s="115">
        <v>799.0</v>
      </c>
      <c r="C24" s="115"/>
      <c r="D24" s="115" t="s">
        <v>3</v>
      </c>
      <c r="E24" s="136">
        <f t="shared" si="0"/>
        <v>0.5708333333333322</v>
      </c>
      <c r="F24" s="115"/>
      <c r="G24" s="130" t="s">
        <v>16</v>
      </c>
      <c r="H24" s="115"/>
      <c r="I24" s="135" t="s">
        <v>46</v>
      </c>
      <c r="J24" s="132" t="s">
        <v>3</v>
      </c>
    </row>
    <row r="25" spans="8:8" ht="32.0" customHeight="1">
      <c r="A25" s="115">
        <v>22.0</v>
      </c>
      <c r="B25" s="115">
        <v>799.0</v>
      </c>
      <c r="C25" s="115"/>
      <c r="D25" s="133" t="s">
        <v>7</v>
      </c>
      <c r="E25" s="134">
        <f t="shared" si="0"/>
        <v>0.5833333333333321</v>
      </c>
      <c r="F25" s="115"/>
      <c r="G25" s="130" t="s">
        <v>17</v>
      </c>
      <c r="H25" s="115"/>
      <c r="I25" s="135" t="s">
        <v>46</v>
      </c>
      <c r="J25" s="132" t="s">
        <v>7</v>
      </c>
    </row>
    <row r="26" spans="8:8" ht="32.0" customHeight="1">
      <c r="A26" s="115">
        <v>23.0</v>
      </c>
      <c r="B26" s="115">
        <v>799.0</v>
      </c>
      <c r="C26" s="115"/>
      <c r="D26" s="115" t="s">
        <v>3</v>
      </c>
      <c r="E26" s="136">
        <f t="shared" si="0"/>
        <v>0.5944444444444431</v>
      </c>
      <c r="F26" s="115"/>
      <c r="G26" s="130" t="s">
        <v>16</v>
      </c>
      <c r="H26" s="115"/>
      <c r="I26" s="135" t="s">
        <v>46</v>
      </c>
      <c r="J26" s="132" t="s">
        <v>3</v>
      </c>
    </row>
    <row r="27" spans="8:8" ht="32.0" customHeight="1">
      <c r="A27" s="115">
        <v>24.0</v>
      </c>
      <c r="B27" s="115">
        <v>799.0</v>
      </c>
      <c r="C27" s="115"/>
      <c r="D27" s="133" t="s">
        <v>7</v>
      </c>
      <c r="E27" s="134">
        <f t="shared" si="0"/>
        <v>0.6069444444444432</v>
      </c>
      <c r="F27" s="115"/>
      <c r="G27" s="130" t="s">
        <v>17</v>
      </c>
      <c r="H27" s="115"/>
      <c r="I27" s="135" t="s">
        <v>46</v>
      </c>
      <c r="J27" s="132" t="s">
        <v>7</v>
      </c>
    </row>
    <row r="28" spans="8:8" ht="32.0" customHeight="1">
      <c r="A28" s="115">
        <v>25.0</v>
      </c>
      <c r="B28" s="115">
        <v>799.0</v>
      </c>
      <c r="C28" s="115"/>
      <c r="D28" s="115" t="s">
        <v>3</v>
      </c>
      <c r="E28" s="136">
        <f t="shared" si="0"/>
        <v>0.6180555555555541</v>
      </c>
      <c r="F28" s="115"/>
      <c r="G28" s="130" t="s">
        <v>16</v>
      </c>
      <c r="H28" s="115"/>
      <c r="I28" s="135" t="s">
        <v>46</v>
      </c>
      <c r="J28" s="132" t="s">
        <v>3</v>
      </c>
    </row>
    <row r="29" spans="8:8" ht="32.0" customHeight="1">
      <c r="A29" s="115">
        <v>26.0</v>
      </c>
      <c r="B29" s="115">
        <v>799.0</v>
      </c>
      <c r="C29" s="115"/>
      <c r="D29" s="133" t="s">
        <v>7</v>
      </c>
      <c r="E29" s="134">
        <f t="shared" si="0"/>
        <v>0.6305555555555541</v>
      </c>
      <c r="F29" s="115"/>
      <c r="G29" s="130" t="s">
        <v>17</v>
      </c>
      <c r="H29" s="115"/>
      <c r="I29" s="135" t="s">
        <v>46</v>
      </c>
      <c r="J29" s="132" t="s">
        <v>7</v>
      </c>
    </row>
    <row r="30" spans="8:8" ht="32.0" customHeight="1">
      <c r="A30" s="115">
        <v>27.0</v>
      </c>
      <c r="B30" s="115">
        <v>799.0</v>
      </c>
      <c r="C30" s="115"/>
      <c r="D30" s="115" t="s">
        <v>3</v>
      </c>
      <c r="E30" s="136">
        <f t="shared" si="0"/>
        <v>0.6416666666666652</v>
      </c>
      <c r="F30" s="115"/>
      <c r="G30" s="130" t="s">
        <v>16</v>
      </c>
      <c r="H30" s="115"/>
      <c r="I30" s="135" t="s">
        <v>46</v>
      </c>
      <c r="J30" s="132" t="s">
        <v>3</v>
      </c>
    </row>
    <row r="31" spans="8:8" ht="32.0" customHeight="1">
      <c r="A31" s="115">
        <v>28.0</v>
      </c>
      <c r="B31" s="115">
        <v>799.0</v>
      </c>
      <c r="C31" s="115"/>
      <c r="D31" s="133" t="s">
        <v>7</v>
      </c>
      <c r="E31" s="134">
        <f t="shared" si="0"/>
        <v>0.6541666666666651</v>
      </c>
      <c r="F31" s="115"/>
      <c r="G31" s="130" t="s">
        <v>17</v>
      </c>
      <c r="H31" s="115"/>
      <c r="I31" s="135" t="s">
        <v>46</v>
      </c>
      <c r="J31" s="132" t="s">
        <v>7</v>
      </c>
    </row>
    <row r="32" spans="8:8" ht="32.0" customHeight="1">
      <c r="A32" s="115">
        <v>29.0</v>
      </c>
      <c r="B32" s="115">
        <v>799.0</v>
      </c>
      <c r="C32" s="115"/>
      <c r="D32" s="115" t="s">
        <v>3</v>
      </c>
      <c r="E32" s="136">
        <f t="shared" si="0"/>
        <v>0.6652777777777762</v>
      </c>
      <c r="F32" s="115"/>
      <c r="G32" s="130" t="s">
        <v>16</v>
      </c>
      <c r="H32" s="115"/>
      <c r="I32" s="135" t="s">
        <v>46</v>
      </c>
      <c r="J32" s="132" t="s">
        <v>3</v>
      </c>
    </row>
    <row r="33" spans="8:8" ht="32.0" customHeight="1">
      <c r="A33" s="115">
        <v>30.0</v>
      </c>
      <c r="B33" s="115">
        <v>799.0</v>
      </c>
      <c r="C33" s="115"/>
      <c r="D33" s="133" t="s">
        <v>7</v>
      </c>
      <c r="E33" s="134">
        <f t="shared" si="0"/>
        <v>0.6777777777777761</v>
      </c>
      <c r="F33" s="115"/>
      <c r="G33" s="130" t="s">
        <v>17</v>
      </c>
      <c r="H33" s="115"/>
      <c r="I33" s="135" t="s">
        <v>46</v>
      </c>
      <c r="J33" s="132" t="s">
        <v>7</v>
      </c>
    </row>
    <row r="34" spans="8:8" ht="32.0" customHeight="1">
      <c r="A34" s="115">
        <v>31.0</v>
      </c>
      <c r="B34" s="115">
        <v>799.0</v>
      </c>
      <c r="C34" s="115"/>
      <c r="D34" s="115" t="s">
        <v>3</v>
      </c>
      <c r="E34" s="136">
        <f t="shared" si="0"/>
        <v>0.6888888888888871</v>
      </c>
      <c r="F34" s="115"/>
      <c r="G34" s="130" t="s">
        <v>16</v>
      </c>
      <c r="H34" s="115"/>
      <c r="I34" s="135" t="s">
        <v>46</v>
      </c>
      <c r="J34" s="132" t="s">
        <v>3</v>
      </c>
    </row>
    <row r="35" spans="8:8" ht="32.0" customHeight="1">
      <c r="A35" s="115">
        <v>32.0</v>
      </c>
      <c r="B35" s="115">
        <v>799.0</v>
      </c>
      <c r="C35" s="115"/>
      <c r="D35" s="133" t="s">
        <v>7</v>
      </c>
      <c r="E35" s="134">
        <f t="shared" si="0"/>
        <v>0.7013888888888872</v>
      </c>
      <c r="F35" s="115"/>
      <c r="G35" s="130" t="s">
        <v>17</v>
      </c>
      <c r="H35" s="115"/>
      <c r="I35" s="135" t="s">
        <v>46</v>
      </c>
      <c r="J35" s="132" t="s">
        <v>7</v>
      </c>
    </row>
    <row r="36" spans="8:8" ht="32.0" customHeight="1">
      <c r="A36" s="115">
        <v>33.0</v>
      </c>
      <c r="B36" s="115">
        <v>799.0</v>
      </c>
      <c r="C36" s="115"/>
      <c r="D36" s="115" t="s">
        <v>3</v>
      </c>
      <c r="E36" s="136">
        <f t="shared" si="0"/>
        <v>0.7124999999999981</v>
      </c>
      <c r="F36" s="115"/>
      <c r="G36" s="130" t="s">
        <v>16</v>
      </c>
      <c r="H36" s="115"/>
      <c r="I36" s="135" t="s">
        <v>46</v>
      </c>
      <c r="J36" s="132" t="s">
        <v>3</v>
      </c>
    </row>
    <row r="37" spans="8:8" ht="32.0" customHeight="1">
      <c r="A37" s="115">
        <v>34.0</v>
      </c>
      <c r="B37" s="115">
        <v>799.0</v>
      </c>
      <c r="C37" s="115"/>
      <c r="D37" s="133" t="s">
        <v>7</v>
      </c>
      <c r="E37" s="134">
        <f t="shared" si="0"/>
        <v>0.7249999999999981</v>
      </c>
      <c r="F37" s="115"/>
      <c r="G37" s="130" t="s">
        <v>17</v>
      </c>
      <c r="H37" s="115"/>
      <c r="I37" s="135" t="s">
        <v>46</v>
      </c>
      <c r="J37" s="132" t="s">
        <v>7</v>
      </c>
    </row>
    <row r="38" spans="8:8" ht="32.0" customHeight="1">
      <c r="A38" s="115">
        <v>35.0</v>
      </c>
      <c r="B38" s="115">
        <v>799.0</v>
      </c>
      <c r="C38" s="115"/>
      <c r="D38" s="115" t="s">
        <v>3</v>
      </c>
      <c r="E38" s="136">
        <f t="shared" si="0"/>
        <v>0.7361111111111092</v>
      </c>
      <c r="F38" s="115"/>
      <c r="G38" s="130" t="s">
        <v>16</v>
      </c>
      <c r="H38" s="115"/>
      <c r="I38" s="135" t="s">
        <v>46</v>
      </c>
      <c r="J38" s="132" t="s">
        <v>3</v>
      </c>
    </row>
    <row r="39" spans="8:8" ht="32.0" customHeight="1">
      <c r="A39" s="115">
        <v>36.0</v>
      </c>
      <c r="B39" s="115">
        <v>799.0</v>
      </c>
      <c r="C39" s="115"/>
      <c r="D39" s="133" t="s">
        <v>7</v>
      </c>
      <c r="E39" s="134">
        <f t="shared" si="0"/>
        <v>0.7486111111111091</v>
      </c>
      <c r="F39" s="115"/>
      <c r="G39" s="130" t="s">
        <v>17</v>
      </c>
      <c r="H39" s="115"/>
      <c r="I39" s="135" t="s">
        <v>46</v>
      </c>
      <c r="J39" s="132" t="s">
        <v>7</v>
      </c>
    </row>
    <row r="40" spans="8:8" ht="32.0" customHeight="1">
      <c r="A40" s="115">
        <v>37.0</v>
      </c>
      <c r="B40" s="115">
        <v>799.0</v>
      </c>
      <c r="C40" s="115"/>
      <c r="D40" s="115" t="s">
        <v>3</v>
      </c>
      <c r="E40" s="136">
        <f t="shared" si="0"/>
        <v>0.7597222222222202</v>
      </c>
      <c r="F40" s="115"/>
      <c r="G40" s="130" t="s">
        <v>16</v>
      </c>
      <c r="H40" s="115"/>
      <c r="I40" s="135" t="s">
        <v>46</v>
      </c>
      <c r="J40" s="132" t="s">
        <v>3</v>
      </c>
    </row>
    <row r="41" spans="8:8" ht="32.0" customHeight="1">
      <c r="A41" s="115">
        <v>38.0</v>
      </c>
      <c r="B41" s="115">
        <v>799.0</v>
      </c>
      <c r="C41" s="115"/>
      <c r="D41" s="133" t="s">
        <v>7</v>
      </c>
      <c r="E41" s="134">
        <f t="shared" si="0"/>
        <v>0.7722222222222201</v>
      </c>
      <c r="F41" s="115"/>
      <c r="G41" s="130" t="s">
        <v>17</v>
      </c>
      <c r="H41" s="115"/>
      <c r="I41" s="135" t="s">
        <v>46</v>
      </c>
      <c r="J41" s="132" t="s">
        <v>7</v>
      </c>
    </row>
    <row r="42" spans="8:8" ht="32.0" customHeight="1">
      <c r="A42" s="115">
        <v>39.0</v>
      </c>
      <c r="B42" s="115">
        <v>799.0</v>
      </c>
      <c r="C42" s="115"/>
      <c r="D42" s="115" t="s">
        <v>3</v>
      </c>
      <c r="E42" s="136">
        <f t="shared" si="0"/>
        <v>0.7833333333333311</v>
      </c>
      <c r="F42" s="115"/>
      <c r="G42" s="130" t="s">
        <v>16</v>
      </c>
      <c r="H42" s="115"/>
      <c r="I42" s="135" t="s">
        <v>46</v>
      </c>
      <c r="J42" s="132" t="s">
        <v>3</v>
      </c>
    </row>
    <row r="43" spans="8:8" ht="32.0" customHeight="1">
      <c r="A43" s="115">
        <v>40.0</v>
      </c>
      <c r="B43" s="115">
        <v>799.0</v>
      </c>
      <c r="C43" s="115"/>
      <c r="D43" s="133" t="s">
        <v>7</v>
      </c>
      <c r="E43" s="134">
        <f t="shared" si="0"/>
        <v>0.7958333333333312</v>
      </c>
      <c r="F43" s="115"/>
      <c r="G43" s="130" t="s">
        <v>17</v>
      </c>
      <c r="H43" s="115"/>
      <c r="I43" s="135" t="s">
        <v>46</v>
      </c>
      <c r="J43" s="132" t="s">
        <v>7</v>
      </c>
    </row>
    <row r="44" spans="8:8" ht="32.0" customHeight="1">
      <c r="A44" s="115">
        <v>41.0</v>
      </c>
      <c r="B44" s="115">
        <v>799.0</v>
      </c>
      <c r="C44" s="115"/>
      <c r="D44" s="115" t="s">
        <v>3</v>
      </c>
      <c r="E44" s="136">
        <f t="shared" si="0"/>
        <v>0.8069444444444421</v>
      </c>
      <c r="F44" s="115"/>
      <c r="G44" s="130" t="s">
        <v>16</v>
      </c>
      <c r="H44" s="115"/>
      <c r="I44" s="135" t="s">
        <v>46</v>
      </c>
      <c r="J44" s="132" t="s">
        <v>3</v>
      </c>
    </row>
    <row r="45" spans="8:8" ht="32.0" customHeight="1">
      <c r="A45" s="115">
        <v>42.0</v>
      </c>
      <c r="B45" s="115">
        <v>799.0</v>
      </c>
      <c r="C45" s="115"/>
      <c r="D45" s="133" t="s">
        <v>7</v>
      </c>
      <c r="E45" s="134">
        <f t="shared" si="0"/>
        <v>0.8194444444444421</v>
      </c>
      <c r="F45" s="115"/>
      <c r="G45" s="130" t="s">
        <v>17</v>
      </c>
      <c r="H45" s="115"/>
      <c r="I45" s="135" t="s">
        <v>46</v>
      </c>
      <c r="J45" s="132" t="s">
        <v>7</v>
      </c>
    </row>
    <row r="46" spans="8:8" ht="32.0" customHeight="1">
      <c r="A46" s="115">
        <v>43.0</v>
      </c>
      <c r="B46" s="115">
        <v>799.0</v>
      </c>
      <c r="C46" s="115"/>
      <c r="D46" s="115" t="s">
        <v>3</v>
      </c>
      <c r="E46" s="136">
        <v>0.833333333333333</v>
      </c>
      <c r="F46" s="115"/>
      <c r="G46" s="130" t="s">
        <v>16</v>
      </c>
      <c r="H46" s="115"/>
      <c r="I46" s="135" t="s">
        <v>46</v>
      </c>
      <c r="J46" s="132" t="s">
        <v>3</v>
      </c>
    </row>
    <row r="47" spans="8:8" ht="43.0" customHeight="1">
      <c r="A47" s="115">
        <v>44.0</v>
      </c>
      <c r="B47" s="115">
        <v>799.0</v>
      </c>
      <c r="C47" s="115"/>
      <c r="D47" s="133" t="s">
        <v>7</v>
      </c>
      <c r="E47" s="137" t="s">
        <v>47</v>
      </c>
      <c r="F47" s="115"/>
      <c r="G47" s="130" t="s">
        <v>17</v>
      </c>
      <c r="H47" s="115"/>
      <c r="I47" s="135" t="s">
        <v>46</v>
      </c>
      <c r="J47" s="132" t="s">
        <v>7</v>
      </c>
    </row>
    <row r="48" spans="8:8">
      <c r="A48" s="138">
        <v>0.0236111111111111</v>
      </c>
    </row>
  </sheetData>
  <mergeCells count="9">
    <mergeCell ref="A1:H1"/>
    <mergeCell ref="I1:J1"/>
    <mergeCell ref="D2:F2"/>
    <mergeCell ref="A2:A3"/>
    <mergeCell ref="B2:B3"/>
    <mergeCell ref="C2:C3"/>
    <mergeCell ref="G2:G3"/>
    <mergeCell ref="H2:H3"/>
    <mergeCell ref="I2:J3"/>
  </mergeCells>
  <pageMargins left="0.786805555555556" right="0.196527777777778" top="0.393055555555556" bottom="0.393055555555556" header="0.5" footer="0.10625"/>
  <pageSetup paperSize="9" scale="52"/>
  <headerFooter>
    <oddFooter>&amp;CPage &amp;P of &amp;N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Q48"/>
  <sheetViews>
    <sheetView workbookViewId="0">
      <pane ySplit="3" topLeftCell="A23" state="frozen" activePane="bottomLeft"/>
      <selection pane="bottomLeft" activeCell="F50" sqref="F50"/>
    </sheetView>
  </sheetViews>
  <sheetFormatPr defaultRowHeight="13.8" defaultColWidth="9"/>
  <cols>
    <col min="1" max="1" customWidth="0" width="9.136719" style="115"/>
    <col min="2" max="2" customWidth="1" width="8.425781" style="116"/>
    <col min="3" max="3" customWidth="1" width="8.136719" style="116"/>
    <col min="4" max="4" customWidth="1" width="9.7109375" style="116"/>
    <col min="5" max="5" customWidth="1" width="13.109375" style="116"/>
    <col min="6" max="6" customWidth="1" width="18.109375" style="116"/>
    <col min="7" max="7" customWidth="1" width="16.285156" style="116"/>
    <col min="8" max="8" customWidth="1" width="22.21875" style="116"/>
    <col min="9" max="9" customWidth="1" width="26.554688" style="116"/>
    <col min="10" max="10" customWidth="1" width="28.441406" style="116"/>
    <col min="11" max="16384" customWidth="0" width="9.136719" style="116"/>
  </cols>
  <sheetData>
    <row r="1" spans="8:8" ht="24.95" customHeight="1">
      <c r="A1" s="117" t="s">
        <v>48</v>
      </c>
      <c r="B1" s="118"/>
      <c r="C1" s="118"/>
      <c r="D1" s="118"/>
      <c r="E1" s="118"/>
      <c r="F1" s="118"/>
      <c r="G1" s="118"/>
      <c r="H1" s="119"/>
      <c r="I1" s="120" t="s">
        <v>34</v>
      </c>
      <c r="J1" s="121"/>
    </row>
    <row r="2" spans="8:8" ht="28.0" customHeight="1">
      <c r="A2" s="122" t="s">
        <v>35</v>
      </c>
      <c r="B2" s="123" t="s">
        <v>36</v>
      </c>
      <c r="C2" s="122" t="s">
        <v>37</v>
      </c>
      <c r="D2" s="124" t="s">
        <v>38</v>
      </c>
      <c r="E2" s="124"/>
      <c r="F2" s="124"/>
      <c r="G2" s="122" t="s">
        <v>39</v>
      </c>
      <c r="H2" s="122" t="s">
        <v>40</v>
      </c>
      <c r="I2" s="125" t="s">
        <v>41</v>
      </c>
      <c r="J2" s="126"/>
    </row>
    <row r="3" spans="8:8" ht="15.0" customHeight="1">
      <c r="A3" s="122"/>
      <c r="B3" s="123"/>
      <c r="C3" s="122"/>
      <c r="D3" s="124" t="s">
        <v>42</v>
      </c>
      <c r="E3" s="122" t="s">
        <v>43</v>
      </c>
      <c r="F3" s="124" t="s">
        <v>44</v>
      </c>
      <c r="G3" s="122"/>
      <c r="H3" s="122"/>
      <c r="I3" s="127"/>
      <c r="J3" s="128"/>
    </row>
    <row r="4" spans="8:8" s="116" ht="39.0" customFormat="1" customHeight="1">
      <c r="A4" s="115">
        <v>1.0</v>
      </c>
      <c r="B4" s="115">
        <v>798.0</v>
      </c>
      <c r="C4" s="115"/>
      <c r="D4" s="115" t="s">
        <v>7</v>
      </c>
      <c r="E4" s="129" t="s">
        <v>45</v>
      </c>
      <c r="F4" s="115"/>
      <c r="G4" s="130" t="s">
        <v>16</v>
      </c>
      <c r="I4" s="131" t="s">
        <v>46</v>
      </c>
      <c r="J4" s="132" t="s">
        <v>7</v>
      </c>
    </row>
    <row r="5" spans="8:8" ht="32.0" customHeight="1">
      <c r="A5" s="115">
        <v>2.0</v>
      </c>
      <c r="B5" s="115">
        <v>798.0</v>
      </c>
      <c r="C5" s="115"/>
      <c r="D5" s="133" t="s">
        <v>3</v>
      </c>
      <c r="E5" s="134">
        <v>0.346527777777778</v>
      </c>
      <c r="F5" s="115"/>
      <c r="G5" s="130" t="s">
        <v>17</v>
      </c>
      <c r="H5" s="115"/>
      <c r="I5" s="135" t="s">
        <v>46</v>
      </c>
      <c r="J5" s="132" t="s">
        <v>3</v>
      </c>
    </row>
    <row r="6" spans="8:8" ht="32.0" customHeight="1">
      <c r="A6" s="115">
        <v>3.0</v>
      </c>
      <c r="B6" s="115">
        <v>798.0</v>
      </c>
      <c r="C6" s="115"/>
      <c r="D6" s="115" t="s">
        <v>7</v>
      </c>
      <c r="E6" s="136">
        <v>0.359027777777778</v>
      </c>
      <c r="F6" s="115"/>
      <c r="G6" s="130" t="s">
        <v>16</v>
      </c>
      <c r="H6" s="115"/>
      <c r="I6" s="135" t="s">
        <v>46</v>
      </c>
      <c r="J6" s="132" t="s">
        <v>7</v>
      </c>
    </row>
    <row r="7" spans="8:8" ht="32.0" customHeight="1">
      <c r="A7" s="115">
        <v>4.0</v>
      </c>
      <c r="B7" s="115">
        <v>798.0</v>
      </c>
      <c r="C7" s="115"/>
      <c r="D7" s="133" t="s">
        <v>3</v>
      </c>
      <c r="E7" s="134">
        <v>0.370138888888889</v>
      </c>
      <c r="F7" s="115"/>
      <c r="G7" s="130" t="s">
        <v>17</v>
      </c>
      <c r="H7" s="115"/>
      <c r="I7" s="135" t="s">
        <v>46</v>
      </c>
      <c r="J7" s="132" t="s">
        <v>3</v>
      </c>
    </row>
    <row r="8" spans="8:8" ht="32.0" customHeight="1">
      <c r="A8" s="115">
        <v>5.0</v>
      </c>
      <c r="B8" s="115">
        <v>798.0</v>
      </c>
      <c r="C8" s="115"/>
      <c r="D8" s="115" t="s">
        <v>7</v>
      </c>
      <c r="E8" s="136">
        <v>0.382638888888889</v>
      </c>
      <c r="F8" s="115"/>
      <c r="G8" s="130" t="s">
        <v>16</v>
      </c>
      <c r="H8" s="115"/>
      <c r="I8" s="135" t="s">
        <v>46</v>
      </c>
      <c r="J8" s="132" t="s">
        <v>7</v>
      </c>
    </row>
    <row r="9" spans="8:8" ht="32.0" customHeight="1">
      <c r="A9" s="115">
        <v>6.0</v>
      </c>
      <c r="B9" s="115">
        <v>798.0</v>
      </c>
      <c r="C9" s="115"/>
      <c r="D9" s="133" t="s">
        <v>3</v>
      </c>
      <c r="E9" s="134">
        <v>0.39375</v>
      </c>
      <c r="F9" s="115"/>
      <c r="G9" s="130" t="s">
        <v>17</v>
      </c>
      <c r="H9" s="115"/>
      <c r="I9" s="135" t="s">
        <v>46</v>
      </c>
      <c r="J9" s="132" t="s">
        <v>3</v>
      </c>
    </row>
    <row r="10" spans="8:8" ht="32.0" customHeight="1">
      <c r="A10" s="115">
        <v>7.0</v>
      </c>
      <c r="B10" s="115">
        <v>798.0</v>
      </c>
      <c r="C10" s="115"/>
      <c r="D10" s="115" t="s">
        <v>7</v>
      </c>
      <c r="E10" s="136">
        <v>0.40625</v>
      </c>
      <c r="F10" s="115"/>
      <c r="G10" s="130" t="s">
        <v>16</v>
      </c>
      <c r="H10" s="115"/>
      <c r="I10" s="135" t="s">
        <v>46</v>
      </c>
      <c r="J10" s="132" t="s">
        <v>7</v>
      </c>
    </row>
    <row r="11" spans="8:8" ht="32.0" customHeight="1">
      <c r="A11" s="115">
        <v>8.0</v>
      </c>
      <c r="B11" s="115">
        <v>798.0</v>
      </c>
      <c r="C11" s="115"/>
      <c r="D11" s="133" t="s">
        <v>3</v>
      </c>
      <c r="E11" s="134">
        <v>0.417361111111112</v>
      </c>
      <c r="F11" s="115"/>
      <c r="G11" s="130" t="s">
        <v>17</v>
      </c>
      <c r="H11" s="115"/>
      <c r="I11" s="135" t="s">
        <v>46</v>
      </c>
      <c r="J11" s="132" t="s">
        <v>3</v>
      </c>
    </row>
    <row r="12" spans="8:8" ht="32.0" customHeight="1">
      <c r="A12" s="115">
        <v>9.0</v>
      </c>
      <c r="B12" s="115">
        <v>798.0</v>
      </c>
      <c r="C12" s="115"/>
      <c r="D12" s="115" t="s">
        <v>7</v>
      </c>
      <c r="E12" s="136">
        <v>0.429861111111112</v>
      </c>
      <c r="F12" s="115"/>
      <c r="G12" s="130" t="s">
        <v>16</v>
      </c>
      <c r="H12" s="115"/>
      <c r="I12" s="135" t="s">
        <v>46</v>
      </c>
      <c r="J12" s="132" t="s">
        <v>7</v>
      </c>
    </row>
    <row r="13" spans="8:8" ht="32.0" customHeight="1">
      <c r="A13" s="115">
        <v>10.0</v>
      </c>
      <c r="B13" s="115">
        <v>798.0</v>
      </c>
      <c r="C13" s="115"/>
      <c r="D13" s="133" t="s">
        <v>3</v>
      </c>
      <c r="E13" s="134">
        <v>0.440972222222223</v>
      </c>
      <c r="F13" s="115"/>
      <c r="G13" s="130" t="s">
        <v>17</v>
      </c>
      <c r="H13" s="115"/>
      <c r="I13" s="135" t="s">
        <v>46</v>
      </c>
      <c r="J13" s="132" t="s">
        <v>3</v>
      </c>
    </row>
    <row r="14" spans="8:8" ht="32.0" customHeight="1">
      <c r="A14" s="115">
        <v>11.0</v>
      </c>
      <c r="B14" s="115">
        <v>798.0</v>
      </c>
      <c r="C14" s="115"/>
      <c r="D14" s="115" t="s">
        <v>7</v>
      </c>
      <c r="E14" s="136">
        <v>0.453472222222223</v>
      </c>
      <c r="F14" s="115"/>
      <c r="G14" s="130" t="s">
        <v>16</v>
      </c>
      <c r="H14" s="115"/>
      <c r="I14" s="135" t="s">
        <v>46</v>
      </c>
      <c r="J14" s="132" t="s">
        <v>7</v>
      </c>
    </row>
    <row r="15" spans="8:8" ht="32.0" customHeight="1">
      <c r="A15" s="115">
        <v>12.0</v>
      </c>
      <c r="B15" s="115">
        <v>798.0</v>
      </c>
      <c r="C15" s="115"/>
      <c r="D15" s="133" t="s">
        <v>3</v>
      </c>
      <c r="E15" s="134">
        <v>0.464583333333334</v>
      </c>
      <c r="F15" s="115"/>
      <c r="G15" s="130" t="s">
        <v>17</v>
      </c>
      <c r="H15" s="115"/>
      <c r="I15" s="135" t="s">
        <v>46</v>
      </c>
      <c r="J15" s="132" t="s">
        <v>3</v>
      </c>
    </row>
    <row r="16" spans="8:8" ht="32.0" customHeight="1">
      <c r="A16" s="115">
        <v>13.0</v>
      </c>
      <c r="B16" s="115">
        <v>798.0</v>
      </c>
      <c r="C16" s="115"/>
      <c r="D16" s="115" t="s">
        <v>7</v>
      </c>
      <c r="E16" s="136">
        <v>0.477083333333334</v>
      </c>
      <c r="F16" s="115"/>
      <c r="G16" s="130" t="s">
        <v>16</v>
      </c>
      <c r="H16" s="115"/>
      <c r="I16" s="135" t="s">
        <v>46</v>
      </c>
      <c r="J16" s="132" t="s">
        <v>7</v>
      </c>
    </row>
    <row r="17" spans="8:8" ht="32.0" customHeight="1">
      <c r="A17" s="115">
        <v>14.0</v>
      </c>
      <c r="B17" s="115">
        <v>798.0</v>
      </c>
      <c r="C17" s="115"/>
      <c r="D17" s="133" t="s">
        <v>3</v>
      </c>
      <c r="E17" s="134">
        <v>0.488194444444445</v>
      </c>
      <c r="F17" s="115"/>
      <c r="G17" s="130" t="s">
        <v>17</v>
      </c>
      <c r="H17" s="115"/>
      <c r="I17" s="135" t="s">
        <v>46</v>
      </c>
      <c r="J17" s="132" t="s">
        <v>3</v>
      </c>
    </row>
    <row r="18" spans="8:8" ht="32.0" customHeight="1">
      <c r="A18" s="115">
        <v>15.0</v>
      </c>
      <c r="B18" s="115">
        <v>798.0</v>
      </c>
      <c r="C18" s="115"/>
      <c r="D18" s="115" t="s">
        <v>7</v>
      </c>
      <c r="E18" s="136">
        <v>0.500694444444445</v>
      </c>
      <c r="F18" s="115"/>
      <c r="G18" s="130" t="s">
        <v>16</v>
      </c>
      <c r="H18" s="115"/>
      <c r="I18" s="135" t="s">
        <v>46</v>
      </c>
      <c r="J18" s="132" t="s">
        <v>7</v>
      </c>
    </row>
    <row r="19" spans="8:8" ht="32.0" customHeight="1">
      <c r="A19" s="115">
        <v>16.0</v>
      </c>
      <c r="B19" s="115">
        <v>798.0</v>
      </c>
      <c r="C19" s="115"/>
      <c r="D19" s="133" t="s">
        <v>3</v>
      </c>
      <c r="E19" s="134">
        <v>0.511805555555557</v>
      </c>
      <c r="F19" s="115"/>
      <c r="G19" s="130" t="s">
        <v>17</v>
      </c>
      <c r="H19" s="115"/>
      <c r="I19" s="135" t="s">
        <v>46</v>
      </c>
      <c r="J19" s="132" t="s">
        <v>3</v>
      </c>
    </row>
    <row r="20" spans="8:8" ht="32.0" customHeight="1">
      <c r="A20" s="115">
        <v>17.0</v>
      </c>
      <c r="B20" s="115">
        <v>798.0</v>
      </c>
      <c r="C20" s="115"/>
      <c r="D20" s="115" t="s">
        <v>7</v>
      </c>
      <c r="E20" s="136">
        <v>0.524305555555557</v>
      </c>
      <c r="F20" s="115"/>
      <c r="G20" s="130" t="s">
        <v>16</v>
      </c>
      <c r="H20" s="115"/>
      <c r="I20" s="135" t="s">
        <v>46</v>
      </c>
      <c r="J20" s="132" t="s">
        <v>7</v>
      </c>
    </row>
    <row r="21" spans="8:8" ht="32.0" customHeight="1">
      <c r="A21" s="115">
        <v>18.0</v>
      </c>
      <c r="B21" s="115">
        <v>798.0</v>
      </c>
      <c r="C21" s="115"/>
      <c r="D21" s="133" t="s">
        <v>3</v>
      </c>
      <c r="E21" s="134">
        <v>0.535416666666668</v>
      </c>
      <c r="F21" s="115"/>
      <c r="G21" s="130" t="s">
        <v>17</v>
      </c>
      <c r="H21" s="115"/>
      <c r="I21" s="135" t="s">
        <v>46</v>
      </c>
      <c r="J21" s="132" t="s">
        <v>3</v>
      </c>
    </row>
    <row r="22" spans="8:8" ht="32.0" customHeight="1">
      <c r="A22" s="115">
        <v>19.0</v>
      </c>
      <c r="B22" s="115">
        <v>798.0</v>
      </c>
      <c r="C22" s="115"/>
      <c r="D22" s="115" t="s">
        <v>7</v>
      </c>
      <c r="E22" s="136">
        <v>0.547916666666668</v>
      </c>
      <c r="F22" s="115"/>
      <c r="G22" s="130" t="s">
        <v>16</v>
      </c>
      <c r="H22" s="115"/>
      <c r="I22" s="135" t="s">
        <v>46</v>
      </c>
      <c r="J22" s="132" t="s">
        <v>7</v>
      </c>
    </row>
    <row r="23" spans="8:8" ht="32.0" customHeight="1">
      <c r="A23" s="115">
        <v>20.0</v>
      </c>
      <c r="B23" s="115">
        <v>798.0</v>
      </c>
      <c r="C23" s="115"/>
      <c r="D23" s="133" t="s">
        <v>3</v>
      </c>
      <c r="E23" s="134">
        <v>0.559027777777779</v>
      </c>
      <c r="F23" s="115"/>
      <c r="G23" s="130" t="s">
        <v>17</v>
      </c>
      <c r="H23" s="115"/>
      <c r="I23" s="135" t="s">
        <v>46</v>
      </c>
      <c r="J23" s="132" t="s">
        <v>3</v>
      </c>
    </row>
    <row r="24" spans="8:8" ht="32.0" customHeight="1">
      <c r="A24" s="115">
        <v>21.0</v>
      </c>
      <c r="B24" s="115">
        <v>798.0</v>
      </c>
      <c r="C24" s="115"/>
      <c r="D24" s="115" t="s">
        <v>7</v>
      </c>
      <c r="E24" s="136">
        <v>0.571527777777779</v>
      </c>
      <c r="F24" s="115"/>
      <c r="G24" s="130" t="s">
        <v>16</v>
      </c>
      <c r="H24" s="115"/>
      <c r="I24" s="135" t="s">
        <v>46</v>
      </c>
      <c r="J24" s="132" t="s">
        <v>7</v>
      </c>
    </row>
    <row r="25" spans="8:8" ht="32.0" customHeight="1">
      <c r="A25" s="115">
        <v>22.0</v>
      </c>
      <c r="B25" s="115">
        <v>798.0</v>
      </c>
      <c r="C25" s="115"/>
      <c r="D25" s="133" t="s">
        <v>3</v>
      </c>
      <c r="E25" s="134">
        <v>0.58263888888889</v>
      </c>
      <c r="F25" s="115"/>
      <c r="G25" s="130" t="s">
        <v>17</v>
      </c>
      <c r="H25" s="115"/>
      <c r="I25" s="135" t="s">
        <v>46</v>
      </c>
      <c r="J25" s="132" t="s">
        <v>3</v>
      </c>
    </row>
    <row r="26" spans="8:8" ht="32.0" customHeight="1">
      <c r="A26" s="115">
        <v>23.0</v>
      </c>
      <c r="B26" s="115">
        <v>798.0</v>
      </c>
      <c r="C26" s="115"/>
      <c r="D26" s="115" t="s">
        <v>7</v>
      </c>
      <c r="E26" s="136">
        <v>0.59513888888889</v>
      </c>
      <c r="F26" s="115"/>
      <c r="G26" s="130" t="s">
        <v>16</v>
      </c>
      <c r="H26" s="115"/>
      <c r="I26" s="135" t="s">
        <v>46</v>
      </c>
      <c r="J26" s="132" t="s">
        <v>7</v>
      </c>
    </row>
    <row r="27" spans="8:8" ht="32.0" customHeight="1">
      <c r="A27" s="115">
        <v>24.0</v>
      </c>
      <c r="B27" s="115">
        <v>798.0</v>
      </c>
      <c r="C27" s="115"/>
      <c r="D27" s="133" t="s">
        <v>3</v>
      </c>
      <c r="E27" s="134">
        <v>0.606250000000002</v>
      </c>
      <c r="F27" s="115"/>
      <c r="G27" s="130" t="s">
        <v>17</v>
      </c>
      <c r="H27" s="115"/>
      <c r="I27" s="135" t="s">
        <v>46</v>
      </c>
      <c r="J27" s="132" t="s">
        <v>3</v>
      </c>
    </row>
    <row r="28" spans="8:8" ht="32.0" customHeight="1">
      <c r="A28" s="115">
        <v>25.0</v>
      </c>
      <c r="B28" s="115">
        <v>798.0</v>
      </c>
      <c r="C28" s="115"/>
      <c r="D28" s="115" t="s">
        <v>7</v>
      </c>
      <c r="E28" s="136">
        <v>0.618750000000002</v>
      </c>
      <c r="F28" s="115"/>
      <c r="G28" s="130" t="s">
        <v>16</v>
      </c>
      <c r="H28" s="115"/>
      <c r="I28" s="135" t="s">
        <v>46</v>
      </c>
      <c r="J28" s="132" t="s">
        <v>7</v>
      </c>
    </row>
    <row r="29" spans="8:8" ht="32.0" customHeight="1">
      <c r="A29" s="115">
        <v>26.0</v>
      </c>
      <c r="B29" s="115">
        <v>798.0</v>
      </c>
      <c r="C29" s="115"/>
      <c r="D29" s="133" t="s">
        <v>3</v>
      </c>
      <c r="E29" s="134">
        <v>0.629861111111113</v>
      </c>
      <c r="F29" s="115"/>
      <c r="G29" s="130" t="s">
        <v>17</v>
      </c>
      <c r="H29" s="115"/>
      <c r="I29" s="135" t="s">
        <v>46</v>
      </c>
      <c r="J29" s="132" t="s">
        <v>3</v>
      </c>
    </row>
    <row r="30" spans="8:8" ht="32.0" customHeight="1">
      <c r="A30" s="115">
        <v>27.0</v>
      </c>
      <c r="B30" s="115">
        <v>798.0</v>
      </c>
      <c r="C30" s="115"/>
      <c r="D30" s="115" t="s">
        <v>7</v>
      </c>
      <c r="E30" s="136">
        <v>0.642361111111113</v>
      </c>
      <c r="F30" s="115"/>
      <c r="G30" s="130" t="s">
        <v>16</v>
      </c>
      <c r="H30" s="115"/>
      <c r="I30" s="135" t="s">
        <v>46</v>
      </c>
      <c r="J30" s="132" t="s">
        <v>7</v>
      </c>
    </row>
    <row r="31" spans="8:8" ht="32.0" customHeight="1">
      <c r="A31" s="115">
        <v>28.0</v>
      </c>
      <c r="B31" s="115">
        <v>798.0</v>
      </c>
      <c r="C31" s="115"/>
      <c r="D31" s="133" t="s">
        <v>3</v>
      </c>
      <c r="E31" s="134">
        <v>0.653472222222224</v>
      </c>
      <c r="F31" s="115"/>
      <c r="G31" s="130" t="s">
        <v>17</v>
      </c>
      <c r="H31" s="115"/>
      <c r="I31" s="135" t="s">
        <v>46</v>
      </c>
      <c r="J31" s="132" t="s">
        <v>3</v>
      </c>
    </row>
    <row r="32" spans="8:8" ht="32.0" customHeight="1">
      <c r="A32" s="115">
        <v>29.0</v>
      </c>
      <c r="B32" s="115">
        <v>798.0</v>
      </c>
      <c r="C32" s="115"/>
      <c r="D32" s="115" t="s">
        <v>7</v>
      </c>
      <c r="E32" s="136">
        <v>0.665972222222224</v>
      </c>
      <c r="F32" s="115"/>
      <c r="G32" s="130" t="s">
        <v>16</v>
      </c>
      <c r="H32" s="115"/>
      <c r="I32" s="135" t="s">
        <v>46</v>
      </c>
      <c r="J32" s="132" t="s">
        <v>7</v>
      </c>
    </row>
    <row r="33" spans="8:8" ht="32.0" customHeight="1">
      <c r="A33" s="115">
        <v>30.0</v>
      </c>
      <c r="B33" s="115">
        <v>798.0</v>
      </c>
      <c r="C33" s="115"/>
      <c r="D33" s="133" t="s">
        <v>3</v>
      </c>
      <c r="E33" s="134">
        <v>0.677083333333335</v>
      </c>
      <c r="F33" s="115"/>
      <c r="G33" s="130" t="s">
        <v>17</v>
      </c>
      <c r="H33" s="115"/>
      <c r="I33" s="135" t="s">
        <v>46</v>
      </c>
      <c r="J33" s="132" t="s">
        <v>3</v>
      </c>
    </row>
    <row r="34" spans="8:8" ht="32.0" customHeight="1">
      <c r="A34" s="115">
        <v>31.0</v>
      </c>
      <c r="B34" s="115">
        <v>798.0</v>
      </c>
      <c r="C34" s="115"/>
      <c r="D34" s="115" t="s">
        <v>7</v>
      </c>
      <c r="E34" s="136">
        <v>0.689583333333335</v>
      </c>
      <c r="F34" s="115"/>
      <c r="G34" s="130" t="s">
        <v>16</v>
      </c>
      <c r="H34" s="115"/>
      <c r="I34" s="135" t="s">
        <v>46</v>
      </c>
      <c r="J34" s="132" t="s">
        <v>7</v>
      </c>
    </row>
    <row r="35" spans="8:8" ht="32.0" customHeight="1">
      <c r="A35" s="115">
        <v>32.0</v>
      </c>
      <c r="B35" s="115">
        <v>798.0</v>
      </c>
      <c r="C35" s="115"/>
      <c r="D35" s="133" t="s">
        <v>3</v>
      </c>
      <c r="E35" s="134">
        <v>0.700694444444447</v>
      </c>
      <c r="F35" s="115"/>
      <c r="G35" s="130" t="s">
        <v>17</v>
      </c>
      <c r="H35" s="115"/>
      <c r="I35" s="135" t="s">
        <v>46</v>
      </c>
      <c r="J35" s="132" t="s">
        <v>3</v>
      </c>
    </row>
    <row r="36" spans="8:8" ht="32.0" customHeight="1">
      <c r="A36" s="115">
        <v>33.0</v>
      </c>
      <c r="B36" s="115">
        <v>798.0</v>
      </c>
      <c r="C36" s="115"/>
      <c r="D36" s="115" t="s">
        <v>7</v>
      </c>
      <c r="E36" s="136">
        <v>0.713194444444447</v>
      </c>
      <c r="F36" s="115"/>
      <c r="G36" s="130" t="s">
        <v>16</v>
      </c>
      <c r="H36" s="115"/>
      <c r="I36" s="135" t="s">
        <v>46</v>
      </c>
      <c r="J36" s="132" t="s">
        <v>7</v>
      </c>
    </row>
    <row r="37" spans="8:8" ht="32.0" customHeight="1">
      <c r="A37" s="115">
        <v>34.0</v>
      </c>
      <c r="B37" s="115">
        <v>798.0</v>
      </c>
      <c r="C37" s="115"/>
      <c r="D37" s="133" t="s">
        <v>3</v>
      </c>
      <c r="E37" s="134">
        <v>0.724305555555558</v>
      </c>
      <c r="F37" s="115"/>
      <c r="G37" s="130" t="s">
        <v>17</v>
      </c>
      <c r="H37" s="115"/>
      <c r="I37" s="135" t="s">
        <v>46</v>
      </c>
      <c r="J37" s="132" t="s">
        <v>3</v>
      </c>
    </row>
    <row r="38" spans="8:8" ht="32.0" customHeight="1">
      <c r="A38" s="115">
        <v>35.0</v>
      </c>
      <c r="B38" s="115">
        <v>798.0</v>
      </c>
      <c r="C38" s="115"/>
      <c r="D38" s="115" t="s">
        <v>7</v>
      </c>
      <c r="E38" s="136">
        <v>0.736805555555558</v>
      </c>
      <c r="F38" s="115"/>
      <c r="G38" s="130" t="s">
        <v>16</v>
      </c>
      <c r="H38" s="115"/>
      <c r="I38" s="135" t="s">
        <v>46</v>
      </c>
      <c r="J38" s="132" t="s">
        <v>7</v>
      </c>
    </row>
    <row r="39" spans="8:8" ht="32.0" customHeight="1">
      <c r="A39" s="115">
        <v>36.0</v>
      </c>
      <c r="B39" s="115">
        <v>798.0</v>
      </c>
      <c r="C39" s="115"/>
      <c r="D39" s="133" t="s">
        <v>3</v>
      </c>
      <c r="E39" s="134">
        <v>0.747916666666669</v>
      </c>
      <c r="F39" s="115"/>
      <c r="G39" s="130" t="s">
        <v>17</v>
      </c>
      <c r="H39" s="115"/>
      <c r="I39" s="135" t="s">
        <v>46</v>
      </c>
      <c r="J39" s="132" t="s">
        <v>3</v>
      </c>
    </row>
    <row r="40" spans="8:8" ht="32.0" customHeight="1">
      <c r="A40" s="115">
        <v>37.0</v>
      </c>
      <c r="B40" s="115">
        <v>798.0</v>
      </c>
      <c r="C40" s="115"/>
      <c r="D40" s="115" t="s">
        <v>7</v>
      </c>
      <c r="E40" s="136">
        <v>0.760416666666669</v>
      </c>
      <c r="F40" s="115"/>
      <c r="G40" s="130" t="s">
        <v>16</v>
      </c>
      <c r="H40" s="115"/>
      <c r="I40" s="135" t="s">
        <v>46</v>
      </c>
      <c r="J40" s="132" t="s">
        <v>7</v>
      </c>
    </row>
    <row r="41" spans="8:8" ht="32.0" customHeight="1">
      <c r="A41" s="115">
        <v>38.0</v>
      </c>
      <c r="B41" s="115">
        <v>798.0</v>
      </c>
      <c r="C41" s="115"/>
      <c r="D41" s="133" t="s">
        <v>3</v>
      </c>
      <c r="E41" s="134">
        <v>0.77152777777778</v>
      </c>
      <c r="F41" s="115"/>
      <c r="G41" s="130" t="s">
        <v>17</v>
      </c>
      <c r="H41" s="115"/>
      <c r="I41" s="135" t="s">
        <v>46</v>
      </c>
      <c r="J41" s="132" t="s">
        <v>3</v>
      </c>
    </row>
    <row r="42" spans="8:8" ht="32.0" customHeight="1">
      <c r="A42" s="115">
        <v>39.0</v>
      </c>
      <c r="B42" s="115">
        <v>798.0</v>
      </c>
      <c r="C42" s="115"/>
      <c r="D42" s="115" t="s">
        <v>7</v>
      </c>
      <c r="E42" s="136">
        <v>0.78402777777778</v>
      </c>
      <c r="F42" s="115"/>
      <c r="G42" s="130" t="s">
        <v>16</v>
      </c>
      <c r="H42" s="115"/>
      <c r="I42" s="135" t="s">
        <v>46</v>
      </c>
      <c r="J42" s="132" t="s">
        <v>7</v>
      </c>
    </row>
    <row r="43" spans="8:8" ht="32.0" customHeight="1">
      <c r="A43" s="115">
        <v>40.0</v>
      </c>
      <c r="B43" s="115">
        <v>798.0</v>
      </c>
      <c r="C43" s="115"/>
      <c r="D43" s="133" t="s">
        <v>3</v>
      </c>
      <c r="E43" s="134">
        <v>0.795138888888892</v>
      </c>
      <c r="F43" s="115"/>
      <c r="G43" s="130" t="s">
        <v>17</v>
      </c>
      <c r="H43" s="115"/>
      <c r="I43" s="135" t="s">
        <v>46</v>
      </c>
      <c r="J43" s="132" t="s">
        <v>3</v>
      </c>
    </row>
    <row r="44" spans="8:8" ht="32.0" customHeight="1">
      <c r="A44" s="115">
        <v>41.0</v>
      </c>
      <c r="B44" s="115">
        <v>798.0</v>
      </c>
      <c r="C44" s="115"/>
      <c r="D44" s="115" t="s">
        <v>7</v>
      </c>
      <c r="E44" s="136">
        <v>0.807638888888892</v>
      </c>
      <c r="F44" s="115"/>
      <c r="G44" s="130" t="s">
        <v>16</v>
      </c>
      <c r="H44" s="115"/>
      <c r="I44" s="135" t="s">
        <v>46</v>
      </c>
      <c r="J44" s="132" t="s">
        <v>7</v>
      </c>
    </row>
    <row r="45" spans="8:8" ht="32.0" customHeight="1">
      <c r="A45" s="115">
        <v>42.0</v>
      </c>
      <c r="B45" s="115">
        <v>798.0</v>
      </c>
      <c r="C45" s="115"/>
      <c r="D45" s="133" t="s">
        <v>3</v>
      </c>
      <c r="E45" s="134">
        <v>0.820138888888889</v>
      </c>
      <c r="F45" s="115"/>
      <c r="G45" s="130" t="s">
        <v>17</v>
      </c>
      <c r="H45" s="115"/>
      <c r="I45" s="135" t="s">
        <v>46</v>
      </c>
      <c r="J45" s="132" t="s">
        <v>3</v>
      </c>
    </row>
    <row r="46" spans="8:8" ht="32.0" customHeight="1">
      <c r="A46" s="115">
        <v>43.0</v>
      </c>
      <c r="B46" s="115">
        <v>798.0</v>
      </c>
      <c r="C46" s="115"/>
      <c r="D46" s="115" t="s">
        <v>7</v>
      </c>
      <c r="E46" s="136">
        <v>0.833333333333333</v>
      </c>
      <c r="F46" s="115"/>
      <c r="G46" s="130" t="s">
        <v>16</v>
      </c>
      <c r="H46" s="115"/>
      <c r="I46" s="135" t="s">
        <v>46</v>
      </c>
      <c r="J46" s="132" t="s">
        <v>7</v>
      </c>
    </row>
    <row r="47" spans="8:8" ht="41.0" customHeight="1">
      <c r="A47" s="115">
        <v>44.0</v>
      </c>
      <c r="B47" s="115">
        <v>798.0</v>
      </c>
      <c r="C47" s="115"/>
      <c r="D47" s="133" t="s">
        <v>3</v>
      </c>
      <c r="E47" s="137" t="s">
        <v>49</v>
      </c>
      <c r="F47" s="115"/>
      <c r="G47" s="130" t="s">
        <v>17</v>
      </c>
      <c r="H47" s="115"/>
      <c r="I47" s="135" t="s">
        <v>46</v>
      </c>
      <c r="J47" s="132" t="s">
        <v>3</v>
      </c>
    </row>
    <row r="48" spans="8:8">
      <c r="A48" s="138">
        <v>0.0111111111111111</v>
      </c>
    </row>
  </sheetData>
  <mergeCells count="9">
    <mergeCell ref="A1:H1"/>
    <mergeCell ref="I1:J1"/>
    <mergeCell ref="D2:F2"/>
    <mergeCell ref="A2:A3"/>
    <mergeCell ref="B2:B3"/>
    <mergeCell ref="C2:C3"/>
    <mergeCell ref="G2:G3"/>
    <mergeCell ref="H2:H3"/>
    <mergeCell ref="I2:J3"/>
  </mergeCells>
  <pageMargins left="0.786805555555556" right="0.196527777777778" top="0.393055555555556" bottom="0.393055555555556" header="0.5" footer="0.10625"/>
  <pageSetup paperSize="9" scale="52"/>
  <headerFooter>
    <oddFooter>&amp;CPage &amp;P of &amp;N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BS66"/>
  <sheetViews>
    <sheetView tabSelected="1" workbookViewId="0" zoomScale="61">
      <pane xSplit="1" ySplit="1" topLeftCell="B2" state="frozen" activePane="bottomRight"/>
      <selection pane="bottomRight" activeCell="A28" sqref="A28:J41"/>
    </sheetView>
  </sheetViews>
  <sheetFormatPr defaultRowHeight="14.4" defaultColWidth="10"/>
  <cols>
    <col min="1" max="1" customWidth="1" width="15.0" style="0"/>
    <col min="2" max="16" customWidth="1" width="16.527344" style="0"/>
    <col min="18" max="18" customWidth="0" width="12.886719" style="0"/>
  </cols>
  <sheetData>
    <row r="1" spans="8:8" ht="22.1">
      <c r="A1" s="139" t="s">
        <v>192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1" t="s">
        <v>50</v>
      </c>
      <c r="M1" s="4" t="s">
        <v>196</v>
      </c>
      <c r="N1" s="6"/>
      <c r="O1" s="142"/>
      <c r="P1" s="142"/>
    </row>
    <row r="2" spans="8:8" s="143" ht="37.25" customFormat="1">
      <c r="A2" s="144" t="s">
        <v>1</v>
      </c>
      <c r="B2" s="145"/>
      <c r="C2" s="145">
        <v>201.0</v>
      </c>
      <c r="D2" s="145">
        <v>201.0</v>
      </c>
      <c r="E2" s="145">
        <v>201.0</v>
      </c>
      <c r="F2" s="145">
        <v>201.0</v>
      </c>
      <c r="G2" s="145">
        <v>201.0</v>
      </c>
      <c r="H2" s="145">
        <v>201.0</v>
      </c>
      <c r="I2" s="145">
        <v>201.0</v>
      </c>
      <c r="J2" s="145">
        <v>201.0</v>
      </c>
      <c r="K2" s="145">
        <v>201.0</v>
      </c>
      <c r="L2" s="145">
        <v>201.0</v>
      </c>
      <c r="M2" s="146"/>
      <c r="N2" s="146"/>
    </row>
    <row r="3" spans="8:8" ht="19.5">
      <c r="A3" s="147" t="s">
        <v>52</v>
      </c>
      <c r="B3" s="148" t="s">
        <v>211</v>
      </c>
      <c r="C3" s="149" t="s">
        <v>193</v>
      </c>
      <c r="D3" s="149" t="s">
        <v>193</v>
      </c>
      <c r="E3" s="149" t="s">
        <v>193</v>
      </c>
      <c r="F3" s="149" t="s">
        <v>193</v>
      </c>
      <c r="G3" s="149" t="s">
        <v>193</v>
      </c>
      <c r="H3" s="149" t="s">
        <v>193</v>
      </c>
      <c r="I3" s="149" t="s">
        <v>193</v>
      </c>
      <c r="J3" s="149" t="s">
        <v>193</v>
      </c>
      <c r="K3" s="149" t="s">
        <v>193</v>
      </c>
      <c r="L3" s="149" t="s">
        <v>193</v>
      </c>
      <c r="M3" s="149" t="s">
        <v>193</v>
      </c>
      <c r="N3" s="149" t="s">
        <v>193</v>
      </c>
      <c r="O3" s="150"/>
      <c r="P3" s="150"/>
    </row>
    <row r="4" spans="8:8" ht="16.55">
      <c r="A4" s="18" t="s">
        <v>210</v>
      </c>
      <c r="B4" s="148"/>
      <c r="C4" s="151">
        <v>0.31597222222222227</v>
      </c>
      <c r="D4" s="152">
        <f>C12+'L-7 KEY MKPR- JPVE(FINAL)'!$N$10</f>
        <v>0.3437499999999998</v>
      </c>
      <c r="E4" s="45">
        <f>D12+'L-7 KEY MKPR- JPVE(FINAL)'!$N$10</f>
        <v>0.3645833333333338</v>
      </c>
      <c r="F4" s="45">
        <f>E12+'L-7 KEY MKPR- JPVE(FINAL)'!$N$10</f>
        <v>0.3854166666666678</v>
      </c>
      <c r="G4" s="45">
        <f>F12+'L-7 KEY MKPR- JPVE(FINAL)'!$N$10</f>
        <v>0.4062500000000018</v>
      </c>
      <c r="H4" s="45">
        <f>G12+'L-7 KEY MKPR- JPVE(FINAL)'!$N$10</f>
        <v>0.4270833333333358</v>
      </c>
      <c r="I4" s="45">
        <f>H12+'L-7 KEY MKPR- JPVE(FINAL)'!$N$10</f>
        <v>0.4479166666666698</v>
      </c>
      <c r="J4" s="45">
        <f>I12+'L-7 KEY MKPR- JPVE(FINAL)'!$N$10</f>
        <v>0.4687500000000038</v>
      </c>
      <c r="K4" s="45">
        <f>J12+'L-7 KEY MKPR- JPVE(FINAL)'!$N$10</f>
        <v>0.4895833333333378</v>
      </c>
      <c r="L4" s="45">
        <f>K12+'L-7 KEY MKPR- JPVE(FINAL)'!$N$10</f>
        <v>0.5104166666666718</v>
      </c>
      <c r="M4" s="45">
        <f>L12+'L-7 KEY MKPR- JPVE(FINAL)'!$N$10</f>
        <v>0.5312500000000059</v>
      </c>
      <c r="N4" s="45">
        <f>M12+'L-7 KEY MKPR- JPVE(FINAL)'!$N$10</f>
        <v>0.5520833333333388</v>
      </c>
    </row>
    <row r="5" spans="8:8" ht="16.55">
      <c r="A5" s="24" t="s">
        <v>177</v>
      </c>
      <c r="B5" s="148"/>
      <c r="C5" s="151">
        <f>C4+'L-7 KEY MKPR- JPVE(FINAL)'!$F5</f>
        <v>0.32393518518518494</v>
      </c>
      <c r="D5" s="152">
        <f>D4+'L-7 KEY MKPR- JPVE(FINAL)'!$D5</f>
        <v>0.3475462962962963</v>
      </c>
      <c r="E5" s="152">
        <f>E4+'L-7 KEY MKPR- JPVE(FINAL)'!$D5</f>
        <v>0.3683796296296303</v>
      </c>
      <c r="F5" s="152">
        <f>F4+'L-7 KEY MKPR- JPVE(FINAL)'!$D5</f>
        <v>0.3892129629629643</v>
      </c>
      <c r="G5" s="152">
        <f>G4+'L-7 KEY MKPR- JPVE(FINAL)'!$D5</f>
        <v>0.4100462962962983</v>
      </c>
      <c r="H5" s="152">
        <f>H4+'L-7 KEY MKPR- JPVE(FINAL)'!$D5</f>
        <v>0.4308796296296323</v>
      </c>
      <c r="I5" s="152">
        <f>I4+'L-7 KEY MKPR- JPVE(FINAL)'!$D5</f>
        <v>0.4517129629629663</v>
      </c>
      <c r="J5" s="152">
        <f>J4+'L-7 KEY MKPR- JPVE(FINAL)'!$D5</f>
        <v>0.4725462962963003</v>
      </c>
      <c r="K5" s="152">
        <f>K4+'L-7 KEY MKPR- JPVE(FINAL)'!$D5</f>
        <v>0.4933796296296343</v>
      </c>
      <c r="L5" s="152">
        <f>L4+'L-7 KEY MKPR- JPVE(FINAL)'!$D5</f>
        <v>0.5142129629629683</v>
      </c>
      <c r="M5" s="152">
        <f>M4+'L-7 KEY MKPR- JPVE(FINAL)'!$D5</f>
        <v>0.5350462962963023</v>
      </c>
      <c r="N5" s="152">
        <f>N4+'L-7 KEY MKPR- JPVE(FINAL)'!$D5</f>
        <v>0.5558796296296353</v>
      </c>
      <c r="O5" s="153"/>
      <c r="P5" s="153"/>
      <c r="R5" s="21">
        <f>E6-E5</f>
        <v>0.0030555555555559777</v>
      </c>
    </row>
    <row r="6" spans="8:8" ht="16.55">
      <c r="A6" s="24" t="s">
        <v>189</v>
      </c>
      <c r="B6" s="148"/>
      <c r="C6" s="151">
        <f>C5+'L-7 KEY MKPR- JPVE(FINAL)'!$F6</f>
        <v>0.330810185185185</v>
      </c>
      <c r="D6" s="152">
        <f>D5+'L-7 KEY MKPR- JPVE(FINAL)'!$D6</f>
        <v>0.35060185185185155</v>
      </c>
      <c r="E6" s="152">
        <f>E5+'L-7 KEY MKPR- JPVE(FINAL)'!$D6</f>
        <v>0.37143518518518553</v>
      </c>
      <c r="F6" s="152">
        <f>F5+'L-7 KEY MKPR- JPVE(FINAL)'!$D6</f>
        <v>0.3922685185185195</v>
      </c>
      <c r="G6" s="152">
        <f>G5+'L-7 KEY MKPR- JPVE(FINAL)'!$D6</f>
        <v>0.41310185185185355</v>
      </c>
      <c r="H6" s="152">
        <f>H5+'L-7 KEY MKPR- JPVE(FINAL)'!$D6</f>
        <v>0.43393518518518753</v>
      </c>
      <c r="I6" s="152">
        <f>I5+'L-7 KEY MKPR- JPVE(FINAL)'!$D6</f>
        <v>0.4547685185185215</v>
      </c>
      <c r="J6" s="152">
        <f>J5+'L-7 KEY MKPR- JPVE(FINAL)'!$D6</f>
        <v>0.47560185185185555</v>
      </c>
      <c r="K6" s="152">
        <f>K5+'L-7 KEY MKPR- JPVE(FINAL)'!$D6</f>
        <v>0.49643518518518953</v>
      </c>
      <c r="L6" s="152">
        <f>L5+'L-7 KEY MKPR- JPVE(FINAL)'!$D6</f>
        <v>0.5172685185185236</v>
      </c>
      <c r="M6" s="152">
        <f>M5+'L-7 KEY MKPR- JPVE(FINAL)'!$D6</f>
        <v>0.5381018518518575</v>
      </c>
      <c r="N6" s="152">
        <f>N5+'L-7 KEY MKPR- JPVE(FINAL)'!$D6</f>
        <v>0.5589351851851906</v>
      </c>
      <c r="O6" s="153"/>
      <c r="P6" s="153"/>
      <c r="R6" s="21" t="e">
        <f>#REF!-E6</f>
        <v>#REF!</v>
      </c>
    </row>
    <row r="7" spans="8:8" ht="15.35">
      <c r="A7" s="154" t="s">
        <v>8</v>
      </c>
      <c r="B7" s="148"/>
      <c r="C7" s="155" t="s">
        <v>191</v>
      </c>
      <c r="D7" s="155" t="s">
        <v>191</v>
      </c>
      <c r="E7" s="155" t="s">
        <v>191</v>
      </c>
      <c r="F7" s="155" t="s">
        <v>191</v>
      </c>
      <c r="G7" s="155" t="s">
        <v>191</v>
      </c>
      <c r="H7" s="155" t="s">
        <v>191</v>
      </c>
      <c r="I7" s="155" t="s">
        <v>191</v>
      </c>
      <c r="J7" s="155" t="s">
        <v>191</v>
      </c>
      <c r="K7" s="155" t="s">
        <v>191</v>
      </c>
      <c r="L7" s="155" t="s">
        <v>191</v>
      </c>
      <c r="M7" s="155" t="s">
        <v>191</v>
      </c>
      <c r="N7" s="155" t="s">
        <v>191</v>
      </c>
      <c r="O7" s="156"/>
      <c r="P7" s="156"/>
    </row>
    <row r="8" spans="8:8" s="143" ht="37.25" customFormat="1">
      <c r="A8" s="144" t="s">
        <v>1</v>
      </c>
      <c r="B8" s="145"/>
      <c r="C8" s="145">
        <v>201.0</v>
      </c>
      <c r="D8" s="145">
        <v>201.0</v>
      </c>
      <c r="E8" s="145">
        <v>201.0</v>
      </c>
      <c r="F8" s="145">
        <v>201.0</v>
      </c>
      <c r="G8" s="145">
        <v>201.0</v>
      </c>
      <c r="H8" s="145">
        <v>201.0</v>
      </c>
      <c r="I8" s="145">
        <v>201.0</v>
      </c>
      <c r="J8" s="145">
        <v>201.0</v>
      </c>
      <c r="K8" s="145">
        <v>201.0</v>
      </c>
      <c r="L8" s="145">
        <v>201.0</v>
      </c>
      <c r="M8" s="145">
        <v>201.0</v>
      </c>
      <c r="N8" s="145">
        <v>201.0</v>
      </c>
      <c r="O8" s="146"/>
      <c r="P8" s="146"/>
      <c r="R8"/>
    </row>
    <row r="9" spans="8:8" ht="27.8">
      <c r="A9" s="147" t="s">
        <v>52</v>
      </c>
      <c r="B9" s="148"/>
      <c r="C9" s="149" t="s">
        <v>194</v>
      </c>
      <c r="D9" s="149" t="s">
        <v>194</v>
      </c>
      <c r="E9" s="149" t="s">
        <v>194</v>
      </c>
      <c r="F9" s="149" t="s">
        <v>194</v>
      </c>
      <c r="G9" s="149" t="s">
        <v>194</v>
      </c>
      <c r="H9" s="149" t="s">
        <v>194</v>
      </c>
      <c r="I9" s="149" t="s">
        <v>194</v>
      </c>
      <c r="J9" s="149" t="s">
        <v>194</v>
      </c>
      <c r="K9" s="149" t="s">
        <v>194</v>
      </c>
      <c r="L9" s="149" t="s">
        <v>194</v>
      </c>
      <c r="M9" s="149" t="s">
        <v>194</v>
      </c>
      <c r="N9" s="149" t="s">
        <v>194</v>
      </c>
      <c r="O9" s="150"/>
      <c r="P9" s="150"/>
      <c r="R9"/>
    </row>
    <row r="10" spans="8:8" ht="16.55">
      <c r="A10" s="24" t="s">
        <v>189</v>
      </c>
      <c r="B10" s="148"/>
      <c r="C10" s="152">
        <v>0.333333333333333</v>
      </c>
      <c r="D10" s="38">
        <f>D6+'L-7 KEY MKPR- JPVE(FINAL)'!$N$10</f>
        <v>0.3541666666666668</v>
      </c>
      <c r="E10" s="38">
        <f>E6+'L-7 KEY MKPR- JPVE(FINAL)'!$N$10</f>
        <v>0.3750000000000008</v>
      </c>
      <c r="F10" s="38">
        <f>F6+'L-7 KEY MKPR- JPVE(FINAL)'!$N$10</f>
        <v>0.3958333333333348</v>
      </c>
      <c r="G10" s="38">
        <f>G6+'L-7 KEY MKPR- JPVE(FINAL)'!$N$10</f>
        <v>0.4166666666666688</v>
      </c>
      <c r="H10" s="38">
        <f>H6+'L-7 KEY MKPR- JPVE(FINAL)'!$N$10</f>
        <v>0.4375000000000028</v>
      </c>
      <c r="I10" s="38">
        <f>I6+'L-7 KEY MKPR- JPVE(FINAL)'!$N$10</f>
        <v>0.4583333333333368</v>
      </c>
      <c r="J10" s="38">
        <f>J6+'L-7 KEY MKPR- JPVE(FINAL)'!$N$10</f>
        <v>0.4791666666666708</v>
      </c>
      <c r="K10" s="38">
        <f>K6+'L-7 KEY MKPR- JPVE(FINAL)'!$N$10</f>
        <v>0.5000000000000048</v>
      </c>
      <c r="L10" s="38">
        <f>L6+'L-7 KEY MKPR- JPVE(FINAL)'!$N$10</f>
        <v>0.5208333333333388</v>
      </c>
      <c r="M10" s="38">
        <f>M6+'L-7 KEY MKPR- JPVE(FINAL)'!$N$10</f>
        <v>0.5416666666666728</v>
      </c>
      <c r="N10" s="38">
        <f>N6+'L-7 KEY MKPR- JPVE(FINAL)'!$N$10</f>
        <v>0.5625000000000059</v>
      </c>
      <c r="O10" s="153"/>
      <c r="P10" s="153"/>
      <c r="R10" s="25">
        <f>D12-D11</f>
        <v>0.0033333333333330217</v>
      </c>
    </row>
    <row r="11" spans="8:8" ht="16.55">
      <c r="A11" s="24" t="s">
        <v>177</v>
      </c>
      <c r="B11" s="148"/>
      <c r="C11" s="25">
        <f>C10+'L-7 KEY MKPR- JPVE(FINAL)'!$J5</f>
        <v>0.3368518518518515</v>
      </c>
      <c r="D11" s="25">
        <f>D10+'L-7 KEY MKPR- JPVE(FINAL)'!$J5</f>
        <v>0.35768518518518555</v>
      </c>
      <c r="E11" s="25">
        <f>E10+'L-7 KEY MKPR- JPVE(FINAL)'!$J5</f>
        <v>0.37851851851851953</v>
      </c>
      <c r="F11" s="25">
        <f>F10+'L-7 KEY MKPR- JPVE(FINAL)'!$J5</f>
        <v>0.3993518518518535</v>
      </c>
      <c r="G11" s="25">
        <f>G10+'L-7 KEY MKPR- JPVE(FINAL)'!$J5</f>
        <v>0.42018518518518755</v>
      </c>
      <c r="H11" s="25">
        <f>H10+'L-7 KEY MKPR- JPVE(FINAL)'!$J5</f>
        <v>0.44101851851852153</v>
      </c>
      <c r="I11" s="25">
        <f>I10+'L-7 KEY MKPR- JPVE(FINAL)'!$J5</f>
        <v>0.4618518518518555</v>
      </c>
      <c r="J11" s="25">
        <f>J10+'L-7 KEY MKPR- JPVE(FINAL)'!$J5</f>
        <v>0.48268518518518955</v>
      </c>
      <c r="K11" s="25">
        <f>K10+'L-7 KEY MKPR- JPVE(FINAL)'!$J5</f>
        <v>0.5035185185185235</v>
      </c>
      <c r="L11" s="25">
        <f>L10+'L-7 KEY MKPR- JPVE(FINAL)'!$J5</f>
        <v>0.5243518518518575</v>
      </c>
      <c r="M11" s="25">
        <f>M10+'L-7 KEY MKPR- JPVE(FINAL)'!$J5</f>
        <v>0.5451851851851914</v>
      </c>
      <c r="N11" s="25">
        <f>N10+'L-7 KEY MKPR- JPVE(FINAL)'!$J5</f>
        <v>0.5660185185185245</v>
      </c>
      <c r="O11" s="153"/>
      <c r="P11" s="153"/>
      <c r="R11" s="21" t="e">
        <f>#REF!-D12</f>
        <v>#REF!</v>
      </c>
    </row>
    <row r="12" spans="8:8" ht="16.55">
      <c r="A12" s="24" t="s">
        <v>210</v>
      </c>
      <c r="B12" s="148"/>
      <c r="C12" s="25">
        <f>C11+'L-7 KEY MKPR- JPVE(FINAL)'!$J6</f>
        <v>0.34018518518518537</v>
      </c>
      <c r="D12" s="25">
        <f>D11+'L-7 KEY MKPR- JPVE(FINAL)'!$J6</f>
        <v>0.36101851851851935</v>
      </c>
      <c r="E12" s="25">
        <f>E11+'L-7 KEY MKPR- JPVE(FINAL)'!$J6</f>
        <v>0.38185185185185333</v>
      </c>
      <c r="F12" s="25">
        <f>F11+'L-7 KEY MKPR- JPVE(FINAL)'!$J6</f>
        <v>0.40268518518518737</v>
      </c>
      <c r="G12" s="25">
        <f>G11+'L-7 KEY MKPR- JPVE(FINAL)'!$J6</f>
        <v>0.42351851851852135</v>
      </c>
      <c r="H12" s="25">
        <f>H11+'L-7 KEY MKPR- JPVE(FINAL)'!$J6</f>
        <v>0.44435185185185533</v>
      </c>
      <c r="I12" s="25">
        <f>I11+'L-7 KEY MKPR- JPVE(FINAL)'!$J6</f>
        <v>0.46518518518518936</v>
      </c>
      <c r="J12" s="25">
        <f>J11+'L-7 KEY MKPR- JPVE(FINAL)'!$J6</f>
        <v>0.48601851851852335</v>
      </c>
      <c r="K12" s="25">
        <f>K11+'L-7 KEY MKPR- JPVE(FINAL)'!$J6</f>
        <v>0.5068518518518573</v>
      </c>
      <c r="L12" s="25">
        <f>L11+'L-7 KEY MKPR- JPVE(FINAL)'!$J6</f>
        <v>0.5276851851851913</v>
      </c>
      <c r="M12" s="25">
        <f>M11+'L-7 KEY MKPR- JPVE(FINAL)'!$J6</f>
        <v>0.5485185185185243</v>
      </c>
      <c r="N12" s="25">
        <f>N11+'L-7 KEY MKPR- JPVE(FINAL)'!$J6</f>
        <v>0.5693518518518583</v>
      </c>
      <c r="O12" s="153"/>
      <c r="P12" s="153"/>
      <c r="S12">
        <v>10.0</v>
      </c>
    </row>
    <row r="13" spans="8:8" ht="15.35">
      <c r="A13" s="154" t="s">
        <v>8</v>
      </c>
      <c r="B13" s="148"/>
      <c r="C13" s="155" t="s">
        <v>195</v>
      </c>
      <c r="D13" s="155" t="s">
        <v>195</v>
      </c>
      <c r="E13" s="155" t="s">
        <v>195</v>
      </c>
      <c r="F13" s="155" t="s">
        <v>195</v>
      </c>
      <c r="G13" s="155" t="s">
        <v>195</v>
      </c>
      <c r="H13" s="155" t="s">
        <v>195</v>
      </c>
      <c r="I13" s="155" t="s">
        <v>195</v>
      </c>
      <c r="J13" s="155" t="s">
        <v>195</v>
      </c>
      <c r="K13" s="155" t="s">
        <v>195</v>
      </c>
      <c r="L13" s="155" t="s">
        <v>195</v>
      </c>
      <c r="M13" s="155" t="s">
        <v>195</v>
      </c>
      <c r="N13" s="155" t="s">
        <v>195</v>
      </c>
      <c r="O13" s="156"/>
      <c r="P13" s="156"/>
      <c r="S13"/>
    </row>
    <row r="14" spans="8:8" ht="16.35">
      <c r="A14" s="157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9"/>
      <c r="R14" s="27" t="e">
        <f>#REF!-E6</f>
        <v>#REF!</v>
      </c>
      <c r="S14">
        <v>39.0</v>
      </c>
    </row>
    <row r="15" spans="8:8" s="143" ht="36.65" customFormat="1">
      <c r="A15" s="144" t="s">
        <v>1</v>
      </c>
      <c r="B15" s="145">
        <v>201.0</v>
      </c>
      <c r="C15" s="145">
        <v>201.0</v>
      </c>
      <c r="D15" s="145">
        <v>201.0</v>
      </c>
      <c r="E15" s="145">
        <v>201.0</v>
      </c>
      <c r="F15" s="145">
        <v>201.0</v>
      </c>
      <c r="G15" s="145">
        <v>201.0</v>
      </c>
      <c r="H15" s="145">
        <v>201.0</v>
      </c>
      <c r="I15" s="145">
        <v>201.0</v>
      </c>
      <c r="J15" s="145">
        <v>201.0</v>
      </c>
      <c r="K15" s="145">
        <v>201.0</v>
      </c>
      <c r="L15" s="145">
        <v>201.0</v>
      </c>
      <c r="M15" s="145">
        <v>201.0</v>
      </c>
      <c r="N15" s="145">
        <v>201.0</v>
      </c>
      <c r="O15" s="146"/>
      <c r="P15" s="146"/>
    </row>
    <row r="16" spans="8:8" ht="27.35">
      <c r="A16" s="147" t="s">
        <v>52</v>
      </c>
      <c r="B16" s="149" t="s">
        <v>193</v>
      </c>
      <c r="C16" s="149" t="s">
        <v>193</v>
      </c>
      <c r="D16" s="149" t="s">
        <v>193</v>
      </c>
      <c r="E16" s="149" t="s">
        <v>193</v>
      </c>
      <c r="F16" s="149" t="s">
        <v>193</v>
      </c>
      <c r="G16" s="149" t="s">
        <v>193</v>
      </c>
      <c r="H16" s="149" t="s">
        <v>193</v>
      </c>
      <c r="I16" s="149" t="s">
        <v>193</v>
      </c>
      <c r="J16" s="149" t="s">
        <v>193</v>
      </c>
      <c r="K16" s="149" t="s">
        <v>193</v>
      </c>
      <c r="L16" s="149" t="s">
        <v>193</v>
      </c>
      <c r="M16" s="149" t="s">
        <v>193</v>
      </c>
      <c r="N16" s="149" t="s">
        <v>193</v>
      </c>
      <c r="O16" s="150"/>
      <c r="P16" s="150"/>
    </row>
    <row r="17" spans="8:8" ht="16.55">
      <c r="A17" s="18" t="s">
        <v>210</v>
      </c>
      <c r="B17" s="21">
        <f>N12+'L-7 KEY MKPR- JPVE(FINAL)'!$N$10</f>
        <v>0.5729166666666728</v>
      </c>
      <c r="C17" s="21">
        <f>B25+'L-7 KEY MKPR- JPVE(FINAL)'!$N$10</f>
        <v>0.5937500000000069</v>
      </c>
      <c r="D17" s="21">
        <f>C25+'L-7 KEY MKPR- JPVE(FINAL)'!$N$10</f>
        <v>0.6145833333333398</v>
      </c>
      <c r="E17" s="21">
        <f>D25+'L-7 KEY MKPR- JPVE(FINAL)'!$N$10</f>
        <v>0.6354166666666738</v>
      </c>
      <c r="F17" s="21">
        <f>E25+'L-7 KEY MKPR- JPVE(FINAL)'!$N$10</f>
        <v>0.6562500000000079</v>
      </c>
      <c r="G17" s="21">
        <f>F25+'L-7 KEY MKPR- JPVE(FINAL)'!$N$10</f>
        <v>0.6770833333333408</v>
      </c>
      <c r="H17" s="21">
        <f>G25+'L-7 KEY MKPR- JPVE(FINAL)'!$N$10</f>
        <v>0.6979166666666748</v>
      </c>
      <c r="I17" s="21">
        <f>H25+'L-7 KEY MKPR- JPVE(FINAL)'!$N$10</f>
        <v>0.7187500000000089</v>
      </c>
      <c r="J17" s="21">
        <f>I25+'L-7 KEY MKPR- JPVE(FINAL)'!$N$10</f>
        <v>0.7395833333333418</v>
      </c>
      <c r="K17" s="21">
        <f>J25+'L-7 KEY MKPR- JPVE(FINAL)'!$N$10</f>
        <v>0.7604166666666758</v>
      </c>
      <c r="L17" s="21">
        <f>K25+'L-7 KEY MKPR- JPVE(FINAL)'!$N$10</f>
        <v>0.7812500000000099</v>
      </c>
      <c r="M17" s="21">
        <f>L25+'L-7 KEY MKPR- JPVE(FINAL)'!$N$10</f>
        <v>0.8020833333333428</v>
      </c>
      <c r="N17" s="21">
        <f>M25+'L-7 KEY MKPR- JPVE(FINAL)'!$N$10</f>
        <v>0.8229166666666768</v>
      </c>
      <c r="O17" s="153"/>
      <c r="P17" s="153"/>
      <c r="R17" s="21" t="e">
        <f>#REF!-E10</f>
        <v>#REF!</v>
      </c>
    </row>
    <row r="18" spans="8:8" ht="16.3">
      <c r="A18" s="24" t="s">
        <v>177</v>
      </c>
      <c r="B18" s="152">
        <f>B17+'L-7 KEY MKPR- JPVE(FINAL)'!$D5</f>
        <v>0.5767129629629693</v>
      </c>
      <c r="C18" s="152">
        <f>C17+'L-7 KEY MKPR- JPVE(FINAL)'!$D5</f>
        <v>0.5975462962963033</v>
      </c>
      <c r="D18" s="152">
        <f>D17+'L-7 KEY MKPR- JPVE(FINAL)'!$D5</f>
        <v>0.6183796296296363</v>
      </c>
      <c r="E18" s="152">
        <f>E17+'L-7 KEY MKPR- JPVE(FINAL)'!$D5</f>
        <v>0.6392129629629703</v>
      </c>
      <c r="F18" s="152">
        <f>F17+'L-7 KEY MKPR- JPVE(FINAL)'!$D5</f>
        <v>0.6600462962963043</v>
      </c>
      <c r="G18" s="152">
        <f>G17+'L-7 KEY MKPR- JPVE(FINAL)'!$D5</f>
        <v>0.6808796296296373</v>
      </c>
      <c r="H18" s="152">
        <f>H17+'L-7 KEY MKPR- JPVE(FINAL)'!$D5</f>
        <v>0.7017129629629713</v>
      </c>
      <c r="I18" s="152">
        <f>I17+'L-7 KEY MKPR- JPVE(FINAL)'!$D5</f>
        <v>0.7225462962963053</v>
      </c>
      <c r="J18" s="152">
        <f>J17+'L-7 KEY MKPR- JPVE(FINAL)'!$D5</f>
        <v>0.7433796296296383</v>
      </c>
      <c r="K18" s="152">
        <f>K17+'L-7 KEY MKPR- JPVE(FINAL)'!$D5</f>
        <v>0.7642129629629723</v>
      </c>
      <c r="L18" s="152">
        <f>L17+'L-7 KEY MKPR- JPVE(FINAL)'!$D5</f>
        <v>0.7850462962963063</v>
      </c>
      <c r="M18" s="152">
        <f>M17+'L-7 KEY MKPR- JPVE(FINAL)'!$D5</f>
        <v>0.8058796296296393</v>
      </c>
      <c r="N18" s="152">
        <f>N17+'L-7 KEY MKPR- JPVE(FINAL)'!$D5</f>
        <v>0.8267129629629733</v>
      </c>
      <c r="O18" s="153"/>
      <c r="P18" s="153"/>
    </row>
    <row r="19" spans="8:8" ht="16.3">
      <c r="A19" s="24" t="s">
        <v>189</v>
      </c>
      <c r="B19" s="152">
        <f>B18+'L-7 KEY MKPR- JPVE(FINAL)'!$D6</f>
        <v>0.5797685185185246</v>
      </c>
      <c r="C19" s="152">
        <f>C18+'L-7 KEY MKPR- JPVE(FINAL)'!$D6</f>
        <v>0.6006018518518585</v>
      </c>
      <c r="D19" s="152">
        <f>D18+'L-7 KEY MKPR- JPVE(FINAL)'!$D6</f>
        <v>0.6214351851851916</v>
      </c>
      <c r="E19" s="152">
        <f>E18+'L-7 KEY MKPR- JPVE(FINAL)'!$D6</f>
        <v>0.6422685185185256</v>
      </c>
      <c r="F19" s="152">
        <f>F18+'L-7 KEY MKPR- JPVE(FINAL)'!$D6</f>
        <v>0.6631018518518595</v>
      </c>
      <c r="G19" s="152">
        <f>G18+'L-7 KEY MKPR- JPVE(FINAL)'!$D6</f>
        <v>0.6839351851851926</v>
      </c>
      <c r="H19" s="152">
        <f>H18+'L-7 KEY MKPR- JPVE(FINAL)'!$D6</f>
        <v>0.7047685185185266</v>
      </c>
      <c r="I19" s="152">
        <f>I18+'L-7 KEY MKPR- JPVE(FINAL)'!$D6</f>
        <v>0.7256018518518605</v>
      </c>
      <c r="J19" s="152">
        <f>J18+'L-7 KEY MKPR- JPVE(FINAL)'!$D6</f>
        <v>0.7464351851851936</v>
      </c>
      <c r="K19" s="152">
        <f>K18+'L-7 KEY MKPR- JPVE(FINAL)'!$D6</f>
        <v>0.7672685185185276</v>
      </c>
      <c r="L19" s="152">
        <f>L18+'L-7 KEY MKPR- JPVE(FINAL)'!$D6</f>
        <v>0.7881018518518615</v>
      </c>
      <c r="M19" s="152">
        <f>M18+'L-7 KEY MKPR- JPVE(FINAL)'!$D6</f>
        <v>0.8089351851851946</v>
      </c>
      <c r="N19" s="152">
        <f>N18+'L-7 KEY MKPR- JPVE(FINAL)'!$D6</f>
        <v>0.8297685185185286</v>
      </c>
      <c r="O19" s="153"/>
      <c r="P19" s="153"/>
    </row>
    <row r="20" spans="8:8" ht="15.7">
      <c r="A20" s="154" t="s">
        <v>8</v>
      </c>
      <c r="B20" s="155" t="s">
        <v>191</v>
      </c>
      <c r="C20" s="155" t="s">
        <v>191</v>
      </c>
      <c r="D20" s="155" t="s">
        <v>191</v>
      </c>
      <c r="E20" s="155" t="s">
        <v>191</v>
      </c>
      <c r="F20" s="155" t="s">
        <v>191</v>
      </c>
      <c r="G20" s="155" t="s">
        <v>191</v>
      </c>
      <c r="H20" s="155" t="s">
        <v>191</v>
      </c>
      <c r="I20" s="155" t="s">
        <v>191</v>
      </c>
      <c r="J20" s="155" t="s">
        <v>191</v>
      </c>
      <c r="K20" s="155" t="s">
        <v>191</v>
      </c>
      <c r="L20" s="155" t="s">
        <v>191</v>
      </c>
      <c r="M20" s="155" t="s">
        <v>191</v>
      </c>
      <c r="N20" s="155" t="s">
        <v>191</v>
      </c>
      <c r="O20" s="156"/>
      <c r="P20" s="156"/>
      <c r="R20"/>
    </row>
    <row r="21" spans="8:8" s="143" ht="36.65" customFormat="1">
      <c r="A21" s="144" t="s">
        <v>1</v>
      </c>
      <c r="B21" s="145">
        <v>201.0</v>
      </c>
      <c r="C21" s="145">
        <v>201.0</v>
      </c>
      <c r="D21" s="145">
        <v>201.0</v>
      </c>
      <c r="E21" s="145">
        <v>201.0</v>
      </c>
      <c r="F21" s="145">
        <v>201.0</v>
      </c>
      <c r="G21" s="145">
        <v>201.0</v>
      </c>
      <c r="H21" s="145">
        <v>201.0</v>
      </c>
      <c r="I21" s="145">
        <v>201.0</v>
      </c>
      <c r="J21" s="145">
        <v>201.0</v>
      </c>
      <c r="K21" s="145">
        <v>201.0</v>
      </c>
      <c r="L21" s="145">
        <v>201.0</v>
      </c>
      <c r="M21" s="145">
        <v>201.0</v>
      </c>
      <c r="N21" s="145">
        <v>201.0</v>
      </c>
      <c r="O21" s="146"/>
      <c r="P21" s="146"/>
      <c r="R21"/>
    </row>
    <row r="22" spans="8:8" ht="27.35">
      <c r="A22" s="147" t="s">
        <v>52</v>
      </c>
      <c r="B22" s="149" t="s">
        <v>194</v>
      </c>
      <c r="C22" s="149" t="s">
        <v>194</v>
      </c>
      <c r="D22" s="149" t="s">
        <v>194</v>
      </c>
      <c r="E22" s="149" t="s">
        <v>194</v>
      </c>
      <c r="F22" s="149" t="s">
        <v>194</v>
      </c>
      <c r="G22" s="149" t="s">
        <v>194</v>
      </c>
      <c r="H22" s="149" t="s">
        <v>194</v>
      </c>
      <c r="I22" s="149" t="s">
        <v>194</v>
      </c>
      <c r="J22" s="149" t="s">
        <v>194</v>
      </c>
      <c r="K22" s="149" t="s">
        <v>194</v>
      </c>
      <c r="L22" s="149" t="s">
        <v>194</v>
      </c>
      <c r="M22" s="149" t="s">
        <v>194</v>
      </c>
      <c r="N22" s="149" t="s">
        <v>194</v>
      </c>
      <c r="O22" s="150"/>
      <c r="P22" s="150"/>
      <c r="R22"/>
    </row>
    <row r="23" spans="8:8" ht="16.3">
      <c r="A23" s="24" t="s">
        <v>189</v>
      </c>
      <c r="B23" s="25">
        <f>B19+'L-7 KEY MKPR- JPVE(FINAL)'!$N$10</f>
        <v>0.5833333333333398</v>
      </c>
      <c r="C23" s="25">
        <f>C19+'L-7 KEY MKPR- JPVE(FINAL)'!$N$10</f>
        <v>0.6041666666666738</v>
      </c>
      <c r="D23" s="25">
        <f>D19+'L-7 KEY MKPR- JPVE(FINAL)'!$N$10</f>
        <v>0.6250000000000069</v>
      </c>
      <c r="E23" s="25">
        <f>E19+'L-7 KEY MKPR- JPVE(FINAL)'!$N$10</f>
        <v>0.6458333333333408</v>
      </c>
      <c r="F23" s="25">
        <f>F19+'L-7 KEY MKPR- JPVE(FINAL)'!$N$10</f>
        <v>0.6666666666666748</v>
      </c>
      <c r="G23" s="25">
        <f>G19+'L-7 KEY MKPR- JPVE(FINAL)'!$N$10</f>
        <v>0.6875000000000079</v>
      </c>
      <c r="H23" s="25">
        <f>H19+'L-7 KEY MKPR- JPVE(FINAL)'!$N$10</f>
        <v>0.7083333333333418</v>
      </c>
      <c r="I23" s="25">
        <f>I19+'L-7 KEY MKPR- JPVE(FINAL)'!$N$10</f>
        <v>0.7291666666666758</v>
      </c>
      <c r="J23" s="25">
        <f>J19+'L-7 KEY MKPR- JPVE(FINAL)'!$N$10</f>
        <v>0.7500000000000089</v>
      </c>
      <c r="K23" s="25">
        <f>K19+'L-7 KEY MKPR- JPVE(FINAL)'!$N$10</f>
        <v>0.7708333333333428</v>
      </c>
      <c r="L23" s="25">
        <f>L19+'L-7 KEY MKPR- JPVE(FINAL)'!$N$10</f>
        <v>0.7916666666666768</v>
      </c>
      <c r="M23" s="25">
        <f>M19+'L-7 KEY MKPR- JPVE(FINAL)'!$N$10</f>
        <v>0.8125000000000099</v>
      </c>
      <c r="N23" s="25">
        <f>N19+'L-7 KEY MKPR- JPVE(FINAL)'!$N$10</f>
        <v>0.8333333333333438</v>
      </c>
      <c r="O23" s="153"/>
      <c r="P23" s="153"/>
    </row>
    <row r="24" spans="8:8" ht="16.3">
      <c r="A24" s="24" t="s">
        <v>177</v>
      </c>
      <c r="B24" s="25">
        <f>B23+'L-7 KEY MKPR- JPVE(FINAL)'!$J5</f>
        <v>0.5868518518518585</v>
      </c>
      <c r="C24" s="25">
        <f>C23+'L-7 KEY MKPR- JPVE(FINAL)'!$J5</f>
        <v>0.6076851851851924</v>
      </c>
      <c r="D24" s="25">
        <f>D23+'L-7 KEY MKPR- JPVE(FINAL)'!$J5</f>
        <v>0.6285185185185255</v>
      </c>
      <c r="E24" s="25">
        <f>E23+'L-7 KEY MKPR- JPVE(FINAL)'!$J5</f>
        <v>0.6493518518518595</v>
      </c>
      <c r="F24" s="25">
        <f>F23+'L-7 KEY MKPR- JPVE(FINAL)'!$J5</f>
        <v>0.6701851851851934</v>
      </c>
      <c r="G24" s="25">
        <f>G23+'L-7 KEY MKPR- JPVE(FINAL)'!$J5</f>
        <v>0.6910185185185265</v>
      </c>
      <c r="H24" s="25">
        <f>H23+'L-7 KEY MKPR- JPVE(FINAL)'!$J5</f>
        <v>0.7118518518518605</v>
      </c>
      <c r="I24" s="25">
        <f>I23+'L-7 KEY MKPR- JPVE(FINAL)'!$J5</f>
        <v>0.7326851851851944</v>
      </c>
      <c r="J24" s="25">
        <f>J23+'L-7 KEY MKPR- JPVE(FINAL)'!$J5</f>
        <v>0.7535185185185275</v>
      </c>
      <c r="K24" s="25">
        <f>K23+'L-7 KEY MKPR- JPVE(FINAL)'!$J5</f>
        <v>0.7743518518518615</v>
      </c>
      <c r="L24" s="25">
        <f>L23+'L-7 KEY MKPR- JPVE(FINAL)'!$J5</f>
        <v>0.7951851851851954</v>
      </c>
      <c r="M24" s="25">
        <f>M23+'L-7 KEY MKPR- JPVE(FINAL)'!$J5</f>
        <v>0.8160185185185285</v>
      </c>
      <c r="N24" s="25">
        <f>N23+'L-7 KEY MKPR- JPVE(FINAL)'!$J5</f>
        <v>0.8368518518518625</v>
      </c>
      <c r="O24" s="153"/>
      <c r="P24" s="153"/>
    </row>
    <row r="25" spans="8:8" ht="16.55">
      <c r="A25" s="24" t="s">
        <v>210</v>
      </c>
      <c r="B25" s="25">
        <f>B24+'L-7 KEY MKPR- JPVE(FINAL)'!$J6</f>
        <v>0.5901851851851923</v>
      </c>
      <c r="C25" s="25">
        <f>C24+'L-7 KEY MKPR- JPVE(FINAL)'!$J6</f>
        <v>0.6110185185185253</v>
      </c>
      <c r="D25" s="25">
        <f>D24+'L-7 KEY MKPR- JPVE(FINAL)'!$J6</f>
        <v>0.6318518518518593</v>
      </c>
      <c r="E25" s="25">
        <f>E24+'L-7 KEY MKPR- JPVE(FINAL)'!$J6</f>
        <v>0.6526851851851933</v>
      </c>
      <c r="F25" s="25">
        <f>F24+'L-7 KEY MKPR- JPVE(FINAL)'!$J6</f>
        <v>0.6735185185185263</v>
      </c>
      <c r="G25" s="25">
        <f>G24+'L-7 KEY MKPR- JPVE(FINAL)'!$J6</f>
        <v>0.6943518518518603</v>
      </c>
      <c r="H25" s="25">
        <f>H24+'L-7 KEY MKPR- JPVE(FINAL)'!$J6</f>
        <v>0.7151851851851942</v>
      </c>
      <c r="I25" s="25">
        <f>I24+'L-7 KEY MKPR- JPVE(FINAL)'!$J6</f>
        <v>0.7360185185185273</v>
      </c>
      <c r="J25" s="25">
        <f>J24+'L-7 KEY MKPR- JPVE(FINAL)'!$J6</f>
        <v>0.7568518518518613</v>
      </c>
      <c r="K25" s="25">
        <f>K24+'L-7 KEY MKPR- JPVE(FINAL)'!$J6</f>
        <v>0.7776851851851952</v>
      </c>
      <c r="L25" s="25">
        <f>L24+'L-7 KEY MKPR- JPVE(FINAL)'!$J6</f>
        <v>0.7985185185185283</v>
      </c>
      <c r="M25" s="25">
        <f>M24+'L-7 KEY MKPR- JPVE(FINAL)'!$J6</f>
        <v>0.8193518518518623</v>
      </c>
      <c r="N25" s="25">
        <f>N24+'L-7 KEY MKPR- JPVE(FINAL)'!$J6</f>
        <v>0.8401851851851962</v>
      </c>
      <c r="O25" s="153"/>
      <c r="P25" s="153"/>
    </row>
    <row r="26" spans="8:8" ht="15.7">
      <c r="A26" s="154" t="s">
        <v>8</v>
      </c>
      <c r="B26" s="155" t="s">
        <v>195</v>
      </c>
      <c r="C26" s="155" t="s">
        <v>195</v>
      </c>
      <c r="D26" s="155" t="s">
        <v>195</v>
      </c>
      <c r="E26" s="155" t="s">
        <v>195</v>
      </c>
      <c r="F26" s="155" t="s">
        <v>195</v>
      </c>
      <c r="G26" s="155" t="s">
        <v>195</v>
      </c>
      <c r="H26" s="155" t="s">
        <v>195</v>
      </c>
      <c r="I26" s="155" t="s">
        <v>195</v>
      </c>
      <c r="J26" s="155" t="s">
        <v>195</v>
      </c>
      <c r="K26" s="155" t="s">
        <v>195</v>
      </c>
      <c r="L26" s="155" t="s">
        <v>195</v>
      </c>
      <c r="M26" s="155" t="s">
        <v>195</v>
      </c>
      <c r="N26" s="155" t="s">
        <v>195</v>
      </c>
      <c r="O26" s="156"/>
      <c r="P26" s="156"/>
    </row>
    <row r="27" spans="8:8" s="160" ht="15.15" customFormat="1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9"/>
    </row>
    <row r="28" spans="8:8" ht="18.75">
      <c r="A28" s="161"/>
      <c r="B28" s="162"/>
      <c r="C28" s="162"/>
      <c r="D28" s="162"/>
      <c r="E28" s="162"/>
      <c r="F28" s="162"/>
      <c r="G28" s="162"/>
      <c r="H28" s="162"/>
      <c r="I28" s="162"/>
      <c r="J28" s="163"/>
      <c r="K28" s="164" t="s">
        <v>11</v>
      </c>
      <c r="L28" s="164"/>
      <c r="M28" s="164"/>
      <c r="N28" s="165"/>
    </row>
    <row r="29" spans="8:8" s="166" ht="21.0" customFormat="1">
      <c r="A29" s="167"/>
      <c r="B29" s="168"/>
      <c r="C29" s="168"/>
      <c r="D29" s="168"/>
      <c r="E29" s="168"/>
      <c r="F29" s="168"/>
      <c r="G29" s="168"/>
      <c r="H29" s="168"/>
      <c r="I29" s="168"/>
      <c r="J29" s="169"/>
      <c r="K29" s="170" t="s">
        <v>12</v>
      </c>
      <c r="L29" s="171" t="s">
        <v>13</v>
      </c>
      <c r="M29" s="171" t="s">
        <v>57</v>
      </c>
      <c r="N29" s="172" t="s">
        <v>58</v>
      </c>
      <c r="O29" s="173"/>
      <c r="P29" s="174"/>
      <c r="Q29" s="175" t="s">
        <v>19</v>
      </c>
      <c r="R29" s="175"/>
      <c r="S29" s="175"/>
      <c r="T29" s="175"/>
      <c r="U29" s="175"/>
      <c r="V29" s="176"/>
    </row>
    <row r="30" spans="8:8" ht="16.55">
      <c r="A30" s="177"/>
      <c r="B30" s="178"/>
      <c r="C30" s="178"/>
      <c r="D30" s="178"/>
      <c r="E30" s="178"/>
      <c r="F30" s="178"/>
      <c r="G30" s="178"/>
      <c r="H30" s="178"/>
      <c r="I30" s="168"/>
      <c r="J30" s="169"/>
      <c r="K30" s="179" t="s">
        <v>200</v>
      </c>
      <c r="L30" s="180">
        <v>2.76</v>
      </c>
      <c r="M30" s="180">
        <v>24.0</v>
      </c>
      <c r="N30" s="181">
        <f>L30*M30</f>
        <v>66.24</v>
      </c>
      <c r="O30" s="182"/>
      <c r="P30" s="182"/>
      <c r="Q30" s="183" t="s">
        <v>59</v>
      </c>
      <c r="R30" s="183"/>
      <c r="S30" s="183"/>
      <c r="T30" s="183"/>
      <c r="U30" s="184"/>
      <c r="V30" s="185"/>
    </row>
    <row r="31" spans="8:8" ht="16.55">
      <c r="A31" s="167"/>
      <c r="B31" s="168"/>
      <c r="C31" s="168"/>
      <c r="D31" s="168"/>
      <c r="E31" s="168"/>
      <c r="F31" s="168"/>
      <c r="G31" s="168"/>
      <c r="H31" s="178"/>
      <c r="I31" s="168"/>
      <c r="J31" s="169"/>
      <c r="K31" s="186" t="s">
        <v>201</v>
      </c>
      <c r="L31" s="187">
        <v>2.76</v>
      </c>
      <c r="M31" s="187">
        <v>25.0</v>
      </c>
      <c r="N31" s="181">
        <f>L31*M31</f>
        <v>69.0</v>
      </c>
      <c r="O31" s="188"/>
      <c r="P31" s="188"/>
      <c r="Q31" s="92"/>
      <c r="R31" s="92"/>
      <c r="S31" s="92"/>
      <c r="T31" s="92"/>
      <c r="U31" s="93"/>
      <c r="V31" s="185"/>
    </row>
    <row r="32" spans="8:8" ht="24.0" customHeight="1">
      <c r="A32" s="167"/>
      <c r="B32" s="168"/>
      <c r="C32" s="168"/>
      <c r="D32" s="168"/>
      <c r="E32" s="168"/>
      <c r="F32" s="168"/>
      <c r="G32" s="168"/>
      <c r="H32" s="168"/>
      <c r="I32" s="168"/>
      <c r="J32" s="169"/>
      <c r="K32" s="189" t="s">
        <v>18</v>
      </c>
      <c r="L32" s="189"/>
      <c r="M32" s="187">
        <f>M30+M31</f>
        <v>49.0</v>
      </c>
      <c r="N32" s="181">
        <f>N30+N31</f>
        <v>135.24</v>
      </c>
      <c r="O32" s="190"/>
      <c r="P32" s="190"/>
      <c r="Q32" s="191" t="s">
        <v>26</v>
      </c>
      <c r="R32" s="192"/>
      <c r="S32" s="192"/>
      <c r="T32" s="192" t="s">
        <v>27</v>
      </c>
      <c r="U32" s="193"/>
      <c r="V32" s="185"/>
    </row>
    <row r="33" spans="8:8" ht="19.5">
      <c r="A33" s="167"/>
      <c r="B33" s="168"/>
      <c r="C33" s="168"/>
      <c r="D33" s="168"/>
      <c r="E33" s="168"/>
      <c r="F33" s="168"/>
      <c r="G33" s="168"/>
      <c r="H33" s="168"/>
      <c r="I33" s="168"/>
      <c r="J33" s="169"/>
      <c r="K33" s="164" t="s">
        <v>60</v>
      </c>
      <c r="L33" s="164"/>
      <c r="M33" s="164"/>
      <c r="N33" s="165"/>
      <c r="O33" s="101"/>
      <c r="P33" s="101"/>
      <c r="Q33" s="194"/>
      <c r="R33" s="195"/>
      <c r="S33" s="195"/>
      <c r="T33" s="195"/>
      <c r="U33" s="196"/>
      <c r="V33" s="185"/>
    </row>
    <row r="34" spans="8:8" ht="18.0" customHeight="1">
      <c r="A34" s="167"/>
      <c r="B34" s="168"/>
      <c r="C34" s="168"/>
      <c r="D34" s="168"/>
      <c r="E34" s="168"/>
      <c r="F34" s="168"/>
      <c r="G34" s="168"/>
      <c r="H34" s="168"/>
      <c r="I34" s="168"/>
      <c r="J34" s="169"/>
      <c r="K34" s="170" t="s">
        <v>23</v>
      </c>
      <c r="L34" s="171" t="s">
        <v>61</v>
      </c>
      <c r="M34" s="171" t="s">
        <v>24</v>
      </c>
      <c r="N34" s="172" t="s">
        <v>25</v>
      </c>
      <c r="O34" s="197"/>
      <c r="P34" s="197"/>
      <c r="Q34" s="112" t="s">
        <v>30</v>
      </c>
      <c r="R34" s="113"/>
      <c r="S34" s="113"/>
      <c r="T34" s="198" t="s">
        <v>31</v>
      </c>
      <c r="U34" s="199"/>
      <c r="V34" s="185"/>
    </row>
    <row r="35" spans="8:8" ht="24.0" customHeight="1">
      <c r="A35" s="167"/>
      <c r="B35" s="178"/>
      <c r="C35" s="178"/>
      <c r="D35" s="178"/>
      <c r="E35" s="178"/>
      <c r="F35" s="178"/>
      <c r="G35" s="178"/>
      <c r="H35" s="178"/>
      <c r="I35" s="168"/>
      <c r="J35" s="169"/>
      <c r="K35" s="179" t="s">
        <v>187</v>
      </c>
      <c r="L35" s="180" t="s">
        <v>202</v>
      </c>
      <c r="M35" s="21">
        <v>0.34375</v>
      </c>
      <c r="N35" s="22">
        <v>0.8229166666666666</v>
      </c>
      <c r="O35" s="200"/>
      <c r="P35" s="200"/>
      <c r="Q35" s="185"/>
      <c r="R35" s="185"/>
      <c r="S35" s="185"/>
      <c r="T35" s="185"/>
      <c r="U35" s="185"/>
      <c r="V35" s="185"/>
    </row>
    <row r="36" spans="8:8" ht="21.0">
      <c r="A36" s="167"/>
      <c r="B36" s="168"/>
      <c r="C36" s="168"/>
      <c r="D36" s="168"/>
      <c r="E36" s="168"/>
      <c r="F36" s="168"/>
      <c r="G36" s="168"/>
      <c r="H36" s="168"/>
      <c r="I36" s="168"/>
      <c r="J36" s="169"/>
      <c r="K36" s="179" t="s">
        <v>202</v>
      </c>
      <c r="L36" s="180" t="s">
        <v>187</v>
      </c>
      <c r="M36" s="21">
        <v>0.3333333333333333</v>
      </c>
      <c r="N36" s="22">
        <v>0.833333333333333</v>
      </c>
      <c r="O36" s="185"/>
      <c r="P36" s="185"/>
      <c r="Q36" s="185"/>
      <c r="R36" s="185"/>
    </row>
    <row r="37" spans="8:8" ht="19.5">
      <c r="A37" s="167"/>
      <c r="B37" s="168"/>
      <c r="C37" s="168"/>
      <c r="D37" s="168"/>
      <c r="E37" s="168"/>
      <c r="F37" s="168"/>
      <c r="G37" s="178"/>
      <c r="H37" s="168"/>
      <c r="I37" s="168"/>
      <c r="J37" s="169"/>
      <c r="K37" s="201" t="s">
        <v>62</v>
      </c>
      <c r="L37" s="201"/>
      <c r="M37" s="201"/>
      <c r="N37" s="201"/>
      <c r="O37" s="176"/>
      <c r="P37" s="185"/>
      <c r="Q37" s="185"/>
      <c r="R37" s="185"/>
    </row>
    <row r="38" spans="8:8" ht="16.55">
      <c r="A38" s="167"/>
      <c r="B38" s="168"/>
      <c r="C38" s="168"/>
      <c r="D38" s="168"/>
      <c r="E38" s="168"/>
      <c r="F38" s="168"/>
      <c r="G38" s="168"/>
      <c r="H38" s="168"/>
      <c r="I38" s="168"/>
      <c r="J38" s="169"/>
      <c r="K38" s="202" t="s">
        <v>19</v>
      </c>
      <c r="L38" s="202"/>
      <c r="M38" s="202"/>
      <c r="N38" s="203" t="s">
        <v>203</v>
      </c>
      <c r="O38" s="185"/>
      <c r="P38" s="185"/>
      <c r="Q38" s="185"/>
      <c r="R38" s="176">
        <v>799.0</v>
      </c>
      <c r="S38" s="204" t="s">
        <v>54</v>
      </c>
      <c r="T38" s="185"/>
      <c r="U38" s="185"/>
      <c r="V38" s="185"/>
    </row>
    <row r="39" spans="8:8" ht="16.55">
      <c r="A39" s="167"/>
      <c r="B39" s="168"/>
      <c r="C39" s="168"/>
      <c r="D39" s="168"/>
      <c r="E39" s="168"/>
      <c r="F39" s="168"/>
      <c r="G39" s="168"/>
      <c r="H39" s="168"/>
      <c r="I39" s="168"/>
      <c r="J39" s="169"/>
      <c r="K39" s="202" t="s">
        <v>206</v>
      </c>
      <c r="L39" s="202"/>
      <c r="M39" s="202"/>
      <c r="N39" s="181" t="s">
        <v>204</v>
      </c>
      <c r="O39" s="185"/>
      <c r="P39" s="185"/>
      <c r="Q39" s="185"/>
      <c r="R39" s="176">
        <v>798.0</v>
      </c>
      <c r="S39" s="205" t="s">
        <v>53</v>
      </c>
      <c r="T39" s="185"/>
      <c r="U39" s="185"/>
      <c r="V39" s="185"/>
    </row>
    <row r="40" spans="8:8" ht="16.55">
      <c r="A40" s="167"/>
      <c r="B40" s="168"/>
      <c r="C40" s="168"/>
      <c r="D40" s="168"/>
      <c r="E40" s="168"/>
      <c r="F40" s="168"/>
      <c r="G40" s="168"/>
      <c r="H40" s="168"/>
      <c r="I40" s="168"/>
      <c r="J40" s="169"/>
      <c r="K40" s="202" t="s">
        <v>207</v>
      </c>
      <c r="L40" s="202"/>
      <c r="M40" s="202"/>
      <c r="N40" s="181" t="s">
        <v>208</v>
      </c>
      <c r="O40" s="185"/>
      <c r="P40" s="185"/>
      <c r="Q40" s="185"/>
      <c r="R40" s="176"/>
      <c r="S40" s="176"/>
      <c r="T40" s="185"/>
      <c r="U40" s="185"/>
      <c r="V40" s="185"/>
    </row>
    <row r="41" spans="8:8" ht="16.35">
      <c r="A41" s="206"/>
      <c r="B41" s="207"/>
      <c r="C41" s="207"/>
      <c r="D41" s="207"/>
      <c r="E41" s="207"/>
      <c r="F41" s="207"/>
      <c r="G41" s="207"/>
      <c r="H41" s="208"/>
      <c r="I41" s="208"/>
      <c r="J41" s="209"/>
      <c r="O41" s="160"/>
      <c r="P41" s="160"/>
    </row>
    <row r="47" spans="8:8" ht="15.6">
      <c r="B47" s="210"/>
      <c r="C47" s="210"/>
      <c r="D47" s="210"/>
      <c r="E47" s="210"/>
      <c r="F47" s="210"/>
      <c r="G47" s="211"/>
    </row>
    <row r="48" spans="8:8">
      <c r="B48" s="212"/>
      <c r="C48" s="212"/>
      <c r="D48" s="212"/>
      <c r="E48" s="213"/>
      <c r="F48" s="213"/>
      <c r="G48" s="211"/>
    </row>
    <row r="49" spans="8:8">
      <c r="B49" s="212"/>
      <c r="C49" s="212"/>
      <c r="D49" s="212"/>
      <c r="E49" s="213"/>
      <c r="F49" s="213"/>
      <c r="G49" s="214"/>
    </row>
    <row r="50" spans="8:8" ht="15.6">
      <c r="B50" s="212"/>
      <c r="C50" s="212"/>
      <c r="D50" s="215"/>
      <c r="E50" s="216"/>
      <c r="F50" s="215"/>
      <c r="G50" s="217"/>
    </row>
    <row r="51" spans="8:8" ht="15.6">
      <c r="B51" s="212"/>
      <c r="C51" s="212"/>
      <c r="D51" s="215"/>
      <c r="E51" s="216"/>
      <c r="F51" s="215"/>
      <c r="G51" s="218"/>
    </row>
    <row r="52" spans="8:8" ht="18.0">
      <c r="B52" s="219"/>
      <c r="C52" s="219"/>
      <c r="D52" s="219"/>
      <c r="E52" s="216"/>
      <c r="F52" s="216"/>
      <c r="G52" s="217"/>
    </row>
    <row r="53" spans="8:8" ht="15.6">
      <c r="B53" s="210"/>
      <c r="C53" s="210"/>
      <c r="D53" s="210"/>
      <c r="E53" s="210"/>
      <c r="F53" s="210"/>
      <c r="G53" s="220"/>
    </row>
    <row r="54" spans="8:8" ht="15.6">
      <c r="B54" s="221"/>
      <c r="C54" s="221"/>
      <c r="D54" s="221"/>
      <c r="E54" s="221"/>
      <c r="F54" s="221"/>
      <c r="G54" s="214"/>
    </row>
    <row r="55" spans="8:8" ht="15.6">
      <c r="B55" s="218"/>
      <c r="C55" s="218"/>
      <c r="D55" s="58"/>
      <c r="E55" s="58"/>
      <c r="F55" s="58"/>
      <c r="G55" s="214"/>
    </row>
    <row r="56" spans="8:8" ht="15.6">
      <c r="B56" s="218"/>
      <c r="C56" s="218"/>
      <c r="D56" s="58"/>
      <c r="E56" s="58"/>
      <c r="F56" s="58"/>
      <c r="G56" s="214"/>
    </row>
    <row r="57" spans="8:8" ht="15.6">
      <c r="B57" s="218"/>
      <c r="C57" s="218"/>
      <c r="D57" s="58"/>
      <c r="E57" s="58"/>
      <c r="F57" s="58"/>
      <c r="G57" s="214"/>
    </row>
    <row r="58" spans="8:8" ht="15.6">
      <c r="B58" s="218"/>
      <c r="C58" s="218"/>
      <c r="D58" s="58"/>
      <c r="E58" s="58"/>
      <c r="F58" s="58"/>
      <c r="G58" s="214"/>
    </row>
  </sheetData>
  <mergeCells count="31">
    <mergeCell ref="D58:E58"/>
    <mergeCell ref="K37:N37"/>
    <mergeCell ref="A28:J41"/>
    <mergeCell ref="A1:K1"/>
    <mergeCell ref="B3:B7"/>
    <mergeCell ref="A27:N27"/>
    <mergeCell ref="A14:N14"/>
    <mergeCell ref="M1:N1"/>
    <mergeCell ref="B9:B13"/>
    <mergeCell ref="D57:E57"/>
    <mergeCell ref="K32:L32"/>
    <mergeCell ref="B47:F47"/>
    <mergeCell ref="K39:M39"/>
    <mergeCell ref="K28:N28"/>
    <mergeCell ref="D56:E56"/>
    <mergeCell ref="B48:C49"/>
    <mergeCell ref="K40:M40"/>
    <mergeCell ref="B53:F53"/>
    <mergeCell ref="F48:F49"/>
    <mergeCell ref="D55:E55"/>
    <mergeCell ref="D54:E54"/>
    <mergeCell ref="B50:C50"/>
    <mergeCell ref="B51:C51"/>
    <mergeCell ref="Q31:U31"/>
    <mergeCell ref="Q30:U30"/>
    <mergeCell ref="K33:N33"/>
    <mergeCell ref="B52:D52"/>
    <mergeCell ref="E48:E49"/>
    <mergeCell ref="K38:M38"/>
    <mergeCell ref="D48:D49"/>
    <mergeCell ref="Q29:U29"/>
  </mergeCells>
  <conditionalFormatting sqref="C20 D20 E20 F20 G20 H20 I20 J20 K20 L20 M20 N20">
    <cfRule type="containsText" text="VND" operator="containsText" priority="51" dxfId="7">
      <formula>NOT(ISERROR(SEARCH("VND",#REF!)))</formula>
    </cfRule>
    <cfRule type="containsText" text="MKPR 3RD" operator="containsText" priority="43" dxfId="8">
      <formula>NOT(ISERROR(SEARCH("MKPR 3RD",#REF!)))</formula>
    </cfRule>
    <cfRule type="containsText" text="MKPD" operator="containsText" priority="50" dxfId="9">
      <formula>NOT(ISERROR(SEARCH("MKPD",#REF!)))</formula>
    </cfRule>
  </conditionalFormatting>
  <conditionalFormatting sqref="C13 D13 E13 F13 G13 H13 I13 J13 K13 L13 M13 N13">
    <cfRule type="containsText" text="MKPD" operator="containsText" priority="47" dxfId="10">
      <formula>NOT(ISERROR(SEARCH("MKPD",#REF!)))</formula>
    </cfRule>
    <cfRule type="containsText" text="VND" operator="containsText" priority="48" dxfId="11">
      <formula>NOT(ISERROR(SEARCH("VND",#REF!)))</formula>
    </cfRule>
    <cfRule type="containsText" text="MKPR 3RD" operator="containsText" priority="49" dxfId="12">
      <formula>NOT(ISERROR(SEARCH("MKPR 3RD",#REF!)))</formula>
    </cfRule>
  </conditionalFormatting>
  <conditionalFormatting sqref="C7 D7 E7 F7 G7 H7 I7 J7 K7 L7 M7 N7">
    <cfRule type="containsText" text="VND" operator="containsText" priority="56" dxfId="13">
      <formula>NOT(ISERROR(SEARCH("VND",#REF!)))</formula>
    </cfRule>
    <cfRule type="containsText" text="MKPR 3RD" operator="containsText" priority="58" dxfId="14">
      <formula>NOT(ISERROR(SEARCH("MKPR 3RD",#REF!)))</formula>
    </cfRule>
    <cfRule type="containsText" text="MKPD" operator="containsText" priority="57" dxfId="15">
      <formula>NOT(ISERROR(SEARCH("MKPD",#REF!)))</formula>
    </cfRule>
  </conditionalFormatting>
  <conditionalFormatting sqref="B22 O22:P22">
    <cfRule type="cellIs" operator="equal" priority="40" dxfId="16">
      <formula>$A$2</formula>
    </cfRule>
  </conditionalFormatting>
  <conditionalFormatting sqref="A20">
    <cfRule type="containsText" text="MUPR DN" operator="containsText" priority="45" dxfId="17">
      <formula>NOT(ISERROR(SEARCH("MUPR DN",#REF!)))</formula>
    </cfRule>
    <cfRule type="containsText" text="SVVR DN" operator="containsText" priority="48" dxfId="18">
      <formula>NOT(ISERROR(SEARCH("SVVR DN",#REF!)))</formula>
    </cfRule>
    <cfRule type="containsText" text="NIZM UP" operator="containsText" priority="47" dxfId="19">
      <formula>NOT(ISERROR(SEARCH("NIZM UP",#REF!)))</formula>
    </cfRule>
  </conditionalFormatting>
  <conditionalFormatting sqref="C26:N26">
    <cfRule type="containsText" text="MKPD" operator="containsText" priority="47" dxfId="20">
      <formula>NOT(ISERROR(SEARCH("MKPD",#REF!)))</formula>
    </cfRule>
    <cfRule type="containsText" text="MKPR 3RD" operator="containsText" priority="45" dxfId="21">
      <formula>NOT(ISERROR(SEARCH("MKPR 3RD",#REF!)))</formula>
    </cfRule>
    <cfRule type="containsText" text="VND" operator="containsText" priority="44" dxfId="22">
      <formula>NOT(ISERROR(SEARCH("VND",#REF!)))</formula>
    </cfRule>
  </conditionalFormatting>
  <conditionalFormatting sqref="O13:P13">
    <cfRule type="containsText" text="MKPR 3RD" operator="containsText" priority="56" dxfId="23">
      <formula>NOT(ISERROR(SEARCH("MKPR 3RD",#REF!)))</formula>
    </cfRule>
    <cfRule type="containsText" text="MKPD" operator="containsText" priority="55" dxfId="24">
      <formula>NOT(ISERROR(SEARCH("MKPD",#REF!)))</formula>
    </cfRule>
    <cfRule type="containsText" text="VND" operator="containsText" priority="54" dxfId="25">
      <formula>NOT(ISERROR(SEARCH("VND",#REF!)))</formula>
    </cfRule>
  </conditionalFormatting>
  <conditionalFormatting sqref="C22 D22 E22 F22 G22 H22 I22 J22 K22 L22 M22 N22">
    <cfRule type="cellIs" operator="equal" priority="41" dxfId="26">
      <formula>$A$2</formula>
    </cfRule>
  </conditionalFormatting>
  <conditionalFormatting sqref="B26 O26:P26">
    <cfRule type="containsText" text="MKPR 3RD" operator="containsText" priority="48" dxfId="27">
      <formula>NOT(ISERROR(SEARCH("MKPR 3RD",#REF!)))</formula>
    </cfRule>
    <cfRule type="containsText" text="VND" operator="containsText" priority="46" dxfId="28">
      <formula>NOT(ISERROR(SEARCH("VND",#REF!)))</formula>
    </cfRule>
    <cfRule type="containsText" text="MKPD" operator="containsText" priority="43" dxfId="29">
      <formula>NOT(ISERROR(SEARCH("MKPD",#REF!)))</formula>
    </cfRule>
  </conditionalFormatting>
  <conditionalFormatting sqref="B52">
    <cfRule type="containsText" text="MKPD" operator="containsText" priority="23" dxfId="30">
      <formula>NOT(ISERROR(SEARCH("MKPD",B50)))</formula>
    </cfRule>
    <cfRule type="containsText" text="MKPR 3RD" operator="containsText" priority="24" dxfId="31">
      <formula>NOT(ISERROR(SEARCH("MKPR 3RD",B50)))</formula>
    </cfRule>
    <cfRule type="containsText" text="VND" operator="containsText" priority="22" dxfId="32">
      <formula>NOT(ISERROR(SEARCH("VND",B50)))</formula>
    </cfRule>
  </conditionalFormatting>
  <conditionalFormatting sqref="A7">
    <cfRule type="containsText" text="NIZM UP" operator="containsText" priority="126" dxfId="33">
      <formula>NOT(ISERROR(SEARCH("NIZM UP",#REF!)))</formula>
    </cfRule>
    <cfRule type="containsText" text="MUPR DN" operator="containsText" priority="127" dxfId="34">
      <formula>NOT(ISERROR(SEARCH("MUPR DN",#REF!)))</formula>
    </cfRule>
    <cfRule type="containsText" text="SVVR DN" operator="containsText" priority="128" dxfId="35">
      <formula>NOT(ISERROR(SEARCH("SVVR DN",#REF!)))</formula>
    </cfRule>
  </conditionalFormatting>
  <conditionalFormatting sqref="B8:P8">
    <cfRule type="cellIs" operator="equal" priority="54" dxfId="36">
      <formula>$A$2</formula>
    </cfRule>
  </conditionalFormatting>
  <conditionalFormatting sqref="O7:P7">
    <cfRule type="containsText" text="VND" operator="containsText" priority="94" dxfId="37">
      <formula>NOT(ISERROR(SEARCH("VND",#REF!)))</formula>
    </cfRule>
    <cfRule type="containsText" text="MKPD" operator="containsText" priority="95" dxfId="38">
      <formula>NOT(ISERROR(SEARCH("MKPD",#REF!)))</formula>
    </cfRule>
    <cfRule type="containsText" text="MKPR 3RD" operator="containsText" priority="96" dxfId="39">
      <formula>NOT(ISERROR(SEARCH("MKPR 3RD",#REF!)))</formula>
    </cfRule>
  </conditionalFormatting>
  <conditionalFormatting sqref="B2:N2">
    <cfRule type="cellIs" operator="equal" priority="47" dxfId="40">
      <formula>$A$2</formula>
    </cfRule>
  </conditionalFormatting>
  <conditionalFormatting sqref="B20 O20:P20">
    <cfRule type="containsText" text="MKPD" operator="containsText" priority="46" dxfId="41">
      <formula>NOT(ISERROR(SEARCH("MKPD",#REF!)))</formula>
    </cfRule>
    <cfRule type="containsText" text="MKPR 3RD" operator="containsText" priority="49" dxfId="42">
      <formula>NOT(ISERROR(SEARCH("MKPR 3RD",#REF!)))</formula>
    </cfRule>
    <cfRule type="containsText" text="VND" operator="containsText" priority="44" dxfId="43">
      <formula>NOT(ISERROR(SEARCH("VND",#REF!)))</formula>
    </cfRule>
  </conditionalFormatting>
  <conditionalFormatting sqref="O9:P9">
    <cfRule type="cellIs" operator="equal" priority="129" dxfId="44">
      <formula>$A$2</formula>
    </cfRule>
  </conditionalFormatting>
  <conditionalFormatting sqref="C9 D9 E9 F9 G9 H9 I9 J9 K9 L9 M9 N9">
    <cfRule type="cellIs" operator="equal" priority="55" dxfId="45">
      <formula>$A$2</formula>
    </cfRule>
  </conditionalFormatting>
  <conditionalFormatting sqref="B9:B13">
    <cfRule type="cellIs" operator="equal" priority="129" dxfId="46">
      <formula>$A$2</formula>
    </cfRule>
  </conditionalFormatting>
  <conditionalFormatting sqref="B21:P21">
    <cfRule type="cellIs" operator="equal" priority="49" dxfId="47">
      <formula>$A$2</formula>
    </cfRule>
  </conditionalFormatting>
  <conditionalFormatting sqref="B15:P15">
    <cfRule type="cellIs" operator="equal" priority="49" dxfId="48">
      <formula>$A$2</formula>
    </cfRule>
  </conditionalFormatting>
  <pageMargins left="1.14166666666667" right="0.393055555555556" top="0.511805555555556" bottom="0.393055555555556" header="0.5" footer="0.5"/>
  <pageSetup paperSize="9" scale="51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dimension ref="A1:AC56"/>
  <sheetViews>
    <sheetView workbookViewId="0" zoomScale="80">
      <pane xSplit="1" ySplit="1" topLeftCell="B2" state="frozen" activePane="bottomRight"/>
      <selection pane="bottomRight" activeCell="D4" sqref="D4"/>
    </sheetView>
  </sheetViews>
  <sheetFormatPr defaultRowHeight="14.4" defaultColWidth="10"/>
  <cols>
    <col min="1" max="16" customWidth="1" width="16.527344" style="0"/>
    <col min="18" max="18" customWidth="0" width="12.886719" style="0"/>
  </cols>
  <sheetData>
    <row r="1" spans="8:8" ht="21.75">
      <c r="A1" s="4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142"/>
      <c r="P1" s="142"/>
    </row>
    <row r="2" spans="8:8" ht="21.75">
      <c r="A2" s="8" t="s">
        <v>1</v>
      </c>
      <c r="B2" s="9">
        <v>799.0</v>
      </c>
      <c r="C2" s="10">
        <v>798.0</v>
      </c>
      <c r="D2" s="9">
        <v>799.0</v>
      </c>
      <c r="E2" s="10">
        <v>798.0</v>
      </c>
      <c r="F2" s="9">
        <v>799.0</v>
      </c>
      <c r="G2" s="10">
        <v>798.0</v>
      </c>
      <c r="H2" s="9">
        <v>799.0</v>
      </c>
      <c r="I2" s="10">
        <v>798.0</v>
      </c>
      <c r="J2" s="9">
        <v>799.0</v>
      </c>
      <c r="K2" s="10">
        <v>798.0</v>
      </c>
      <c r="L2" s="9">
        <v>799.0</v>
      </c>
      <c r="M2" s="10">
        <v>798.0</v>
      </c>
      <c r="N2" s="222">
        <v>799.0</v>
      </c>
      <c r="O2" s="223"/>
      <c r="P2" s="223"/>
    </row>
    <row r="3" spans="8:8" ht="18.75">
      <c r="A3" s="13"/>
      <c r="B3" s="224" t="s">
        <v>53</v>
      </c>
      <c r="C3" s="14" t="s">
        <v>54</v>
      </c>
      <c r="D3" s="224" t="s">
        <v>53</v>
      </c>
      <c r="E3" s="14" t="s">
        <v>54</v>
      </c>
      <c r="F3" s="224" t="s">
        <v>53</v>
      </c>
      <c r="G3" s="14" t="s">
        <v>54</v>
      </c>
      <c r="H3" s="224" t="s">
        <v>53</v>
      </c>
      <c r="I3" s="14" t="s">
        <v>54</v>
      </c>
      <c r="J3" s="224" t="s">
        <v>53</v>
      </c>
      <c r="K3" s="14" t="s">
        <v>54</v>
      </c>
      <c r="L3" s="224" t="s">
        <v>53</v>
      </c>
      <c r="M3" s="14" t="s">
        <v>54</v>
      </c>
      <c r="N3" s="224" t="s">
        <v>53</v>
      </c>
      <c r="O3" s="150"/>
      <c r="P3" s="150"/>
    </row>
    <row r="4" spans="8:8" ht="15.6">
      <c r="A4" s="18" t="s">
        <v>3</v>
      </c>
      <c r="B4" s="19" t="s">
        <v>55</v>
      </c>
      <c r="C4" s="19" t="s">
        <v>68</v>
      </c>
      <c r="D4" s="152">
        <v>0.333333333333333</v>
      </c>
      <c r="E4" s="45">
        <v>0.346527777777778</v>
      </c>
      <c r="F4" s="21">
        <f>E4+'L-7 KEY MKPR- JPVE(FINAL)'!$O$9</f>
        <v>0.3701388888888891</v>
      </c>
      <c r="G4" s="21">
        <f>F4+'L-7 KEY MKPR- JPVE(FINAL)'!$O$9</f>
        <v>0.3937500000000001</v>
      </c>
      <c r="H4" s="21">
        <f>G4+'L-7 KEY MKPR- JPVE(FINAL)'!$O$9</f>
        <v>0.41736111111111107</v>
      </c>
      <c r="I4" s="21">
        <f>H4+'L-7 KEY MKPR- JPVE(FINAL)'!$O$9</f>
        <v>0.4409722222222221</v>
      </c>
      <c r="J4" s="21">
        <f>I4+'L-7 KEY MKPR- JPVE(FINAL)'!$O$9</f>
        <v>0.46458333333333307</v>
      </c>
      <c r="K4" s="21">
        <f>J4+'L-7 KEY MKPR- JPVE(FINAL)'!$O$9</f>
        <v>0.4881944444444441</v>
      </c>
      <c r="L4" s="21">
        <f>K4+'L-7 KEY MKPR- JPVE(FINAL)'!$O$9</f>
        <v>0.5118055555555551</v>
      </c>
      <c r="M4" s="21">
        <f>L4+'L-7 KEY MKPR- JPVE(FINAL)'!$O$9</f>
        <v>0.5354166666666661</v>
      </c>
      <c r="N4" s="22">
        <f>M4+'L-7 KEY MKPR- JPVE(FINAL)'!$O$9</f>
        <v>0.5590277777777771</v>
      </c>
      <c r="O4" s="153"/>
      <c r="P4" s="153"/>
      <c r="R4" s="21">
        <f>E5-E4</f>
        <v>0.002361111111111036</v>
      </c>
    </row>
    <row r="5" spans="8:8" ht="15.6">
      <c r="A5" s="24" t="s">
        <v>5</v>
      </c>
      <c r="B5" s="19"/>
      <c r="C5" s="19"/>
      <c r="D5" s="152">
        <f>D4+'L-7 KEY MKPR- JPVE(FINAL)'!$F5</f>
        <v>0.34129629629629593</v>
      </c>
      <c r="E5" s="25">
        <f>E4+'L-7 KEY NEW(JPVE)'!$D5</f>
        <v>0.3488888888888891</v>
      </c>
      <c r="F5" s="25">
        <f>F4+'L-7 KEY NEW(JPVE)'!$D5</f>
        <v>0.3725000000000001</v>
      </c>
      <c r="G5" s="25">
        <f>G4+'L-7 KEY NEW(JPVE)'!$D5</f>
        <v>0.3961111111111111</v>
      </c>
      <c r="H5" s="25">
        <f>H4+'L-7 KEY NEW(JPVE)'!$D5</f>
        <v>0.4197222222222221</v>
      </c>
      <c r="I5" s="25">
        <f>I4+'L-7 KEY NEW(JPVE)'!$D5</f>
        <v>0.4433333333333331</v>
      </c>
      <c r="J5" s="25">
        <f>J4+'L-7 KEY NEW(JPVE)'!$D5</f>
        <v>0.4669444444444441</v>
      </c>
      <c r="K5" s="25">
        <f>K4+'L-7 KEY NEW(JPVE)'!$D5</f>
        <v>0.4905555555555551</v>
      </c>
      <c r="L5" s="25">
        <f>L4+'L-7 KEY NEW(JPVE)'!$D5</f>
        <v>0.5141666666666661</v>
      </c>
      <c r="M5" s="25">
        <f>M4+'L-7 KEY NEW(JPVE)'!$D5</f>
        <v>0.5377777777777771</v>
      </c>
      <c r="N5" s="26">
        <f>N4+'L-7 KEY NEW(JPVE)'!$D5</f>
        <v>0.5613888888888882</v>
      </c>
      <c r="O5" s="153"/>
      <c r="P5" s="153"/>
      <c r="R5" s="21">
        <f>E6-E5</f>
        <v>0.0030324074074069562</v>
      </c>
    </row>
    <row r="6" spans="8:8" ht="15.6">
      <c r="A6" s="24" t="s">
        <v>6</v>
      </c>
      <c r="B6" s="19"/>
      <c r="C6" s="19"/>
      <c r="D6" s="152">
        <f>D5+'L-7 KEY MKPR- JPVE(FINAL)'!$F6</f>
        <v>0.348171296296296</v>
      </c>
      <c r="E6" s="27">
        <f>E5+'L-7 KEY NEW(JPVE)'!$D6</f>
        <v>0.3519212962962964</v>
      </c>
      <c r="F6" s="27">
        <f>F5+'L-7 KEY NEW(JPVE)'!$D6</f>
        <v>0.3755324074074074</v>
      </c>
      <c r="G6" s="27">
        <f>G5+'L-7 KEY NEW(JPVE)'!$D6</f>
        <v>0.3991435185185184</v>
      </c>
      <c r="H6" s="27">
        <f>H5+'L-7 KEY NEW(JPVE)'!$D6</f>
        <v>0.4227546296296294</v>
      </c>
      <c r="I6" s="27">
        <f>I5+'L-7 KEY NEW(JPVE)'!$D6</f>
        <v>0.4463657407407404</v>
      </c>
      <c r="J6" s="27">
        <f>J5+'L-7 KEY NEW(JPVE)'!$D6</f>
        <v>0.4699768518518514</v>
      </c>
      <c r="K6" s="27">
        <f>K5+'L-7 KEY NEW(JPVE)'!$D6</f>
        <v>0.4935879629629624</v>
      </c>
      <c r="L6" s="27">
        <f>L5+'L-7 KEY NEW(JPVE)'!$D6</f>
        <v>0.5171990740740734</v>
      </c>
      <c r="M6" s="27">
        <f>M5+'L-7 KEY NEW(JPVE)'!$D6</f>
        <v>0.5408101851851844</v>
      </c>
      <c r="N6" s="225">
        <f>N5+'L-7 KEY NEW(JPVE)'!$D6</f>
        <v>0.5644212962962954</v>
      </c>
      <c r="O6" s="153"/>
      <c r="P6" s="153"/>
      <c r="R6" s="21">
        <f>E7-E6</f>
        <v>0.005370370370370026</v>
      </c>
    </row>
    <row r="7" spans="8:8" ht="16.35">
      <c r="A7" s="18" t="s">
        <v>7</v>
      </c>
      <c r="B7" s="19"/>
      <c r="C7" s="19"/>
      <c r="D7" s="152">
        <f>D6+'L-7 KEY MKPR- JPVE(FINAL)'!$F7</f>
        <v>0.348171296296296</v>
      </c>
      <c r="E7" s="27">
        <f>E6+'L-7 KEY NEW(JPVE)'!$D7</f>
        <v>0.35729166666666634</v>
      </c>
      <c r="F7" s="27">
        <f>F6+'L-7 KEY NEW(JPVE)'!$D7</f>
        <v>0.38090277777777737</v>
      </c>
      <c r="G7" s="27">
        <f>G6+'L-7 KEY NEW(JPVE)'!$D7</f>
        <v>0.40451388888888834</v>
      </c>
      <c r="H7" s="27">
        <f>H6+'L-7 KEY NEW(JPVE)'!$D7</f>
        <v>0.42812499999999937</v>
      </c>
      <c r="I7" s="27">
        <f>I6+'L-7 KEY NEW(JPVE)'!$D7</f>
        <v>0.45173611111111034</v>
      </c>
      <c r="J7" s="27">
        <f>J6+'L-7 KEY NEW(JPVE)'!$D7</f>
        <v>0.47534722222222137</v>
      </c>
      <c r="K7" s="27">
        <f>K6+'L-7 KEY NEW(JPVE)'!$D7</f>
        <v>0.49895833333333234</v>
      </c>
      <c r="L7" s="27">
        <f>L6+'L-7 KEY NEW(JPVE)'!$D7</f>
        <v>0.5225694444444433</v>
      </c>
      <c r="M7" s="27">
        <f>M6+'L-7 KEY NEW(JPVE)'!$D7</f>
        <v>0.5461805555555543</v>
      </c>
      <c r="N7" s="225">
        <f>N6+'L-7 KEY NEW(JPVE)'!$D7</f>
        <v>0.5697916666666654</v>
      </c>
      <c r="O7" s="153"/>
      <c r="P7" s="153"/>
    </row>
    <row r="8" spans="8:8" ht="15.15">
      <c r="A8" s="30" t="s">
        <v>8</v>
      </c>
      <c r="B8" s="226" t="s">
        <v>56</v>
      </c>
      <c r="C8" s="31" t="s">
        <v>2</v>
      </c>
      <c r="D8" s="226" t="s">
        <v>56</v>
      </c>
      <c r="E8" s="31" t="s">
        <v>2</v>
      </c>
      <c r="F8" s="226" t="s">
        <v>56</v>
      </c>
      <c r="G8" s="31" t="s">
        <v>2</v>
      </c>
      <c r="H8" s="226" t="s">
        <v>56</v>
      </c>
      <c r="I8" s="31" t="s">
        <v>2</v>
      </c>
      <c r="J8" s="226" t="s">
        <v>56</v>
      </c>
      <c r="K8" s="31" t="s">
        <v>2</v>
      </c>
      <c r="L8" s="226" t="s">
        <v>56</v>
      </c>
      <c r="M8" s="31" t="s">
        <v>2</v>
      </c>
      <c r="N8" s="226" t="s">
        <v>56</v>
      </c>
      <c r="O8" s="156"/>
      <c r="P8" s="156"/>
    </row>
    <row r="9" spans="8:8" ht="21.0">
      <c r="A9" s="34" t="s">
        <v>9</v>
      </c>
      <c r="B9" s="35"/>
      <c r="C9" s="35">
        <f t="shared" si="0" ref="C9:H9">C2</f>
        <v>798.0</v>
      </c>
      <c r="D9" s="35">
        <f t="shared" si="0"/>
        <v>799.0</v>
      </c>
      <c r="E9" s="35">
        <f t="shared" si="0"/>
        <v>798.0</v>
      </c>
      <c r="F9" s="35">
        <f t="shared" si="0"/>
        <v>799.0</v>
      </c>
      <c r="G9" s="35">
        <f t="shared" si="0"/>
        <v>798.0</v>
      </c>
      <c r="H9" s="35">
        <f t="shared" si="0"/>
        <v>799.0</v>
      </c>
      <c r="I9" s="35">
        <v>798.0</v>
      </c>
      <c r="J9" s="35">
        <f>J2</f>
        <v>799.0</v>
      </c>
      <c r="K9" s="35">
        <v>798.0</v>
      </c>
      <c r="L9" s="35">
        <f>L2</f>
        <v>799.0</v>
      </c>
      <c r="M9" s="35">
        <v>798.0</v>
      </c>
      <c r="N9" s="227">
        <f>N2</f>
        <v>799.0</v>
      </c>
      <c r="O9" s="223"/>
      <c r="P9" s="223"/>
      <c r="R9" s="21">
        <f>D11-D10</f>
        <v>0.004618055555556</v>
      </c>
    </row>
    <row r="10" spans="8:8" ht="15.6">
      <c r="A10" s="24" t="s">
        <v>7</v>
      </c>
      <c r="B10" s="20"/>
      <c r="C10" s="152">
        <v>0.333333333333333</v>
      </c>
      <c r="D10" s="38">
        <v>0.346875</v>
      </c>
      <c r="E10" s="25">
        <v>0.358680555555556</v>
      </c>
      <c r="F10" s="25">
        <f>F7+'L-7 KEY MKPR- JPVE(FINAL)'!$N$10</f>
        <v>0.3844675925925918</v>
      </c>
      <c r="G10" s="25">
        <f>G7+'L-7 KEY MKPR- JPVE(FINAL)'!$N$10</f>
        <v>0.4080787037037028</v>
      </c>
      <c r="H10" s="25">
        <f>H7+'L-7 KEY MKPR- JPVE(FINAL)'!$N$10</f>
        <v>0.4316898148148138</v>
      </c>
      <c r="I10" s="25">
        <f>I7+'L-7 KEY MKPR- JPVE(FINAL)'!$N$10</f>
        <v>0.4553009259259248</v>
      </c>
      <c r="J10" s="25">
        <f>J7+'L-7 KEY MKPR- JPVE(FINAL)'!$N$10</f>
        <v>0.4789120370370358</v>
      </c>
      <c r="K10" s="25">
        <f>K7+'L-7 KEY MKPR- JPVE(FINAL)'!$N$10</f>
        <v>0.5025231481481468</v>
      </c>
      <c r="L10" s="25">
        <f>L7+'L-7 KEY MKPR- JPVE(FINAL)'!$N$10</f>
        <v>0.5261342592592578</v>
      </c>
      <c r="M10" s="25">
        <f>M7+'L-7 KEY MKPR- JPVE(FINAL)'!$N$10</f>
        <v>0.5497453703703689</v>
      </c>
      <c r="N10" s="26">
        <f>N7+'L-7 KEY MKPR- JPVE(FINAL)'!$N$10</f>
        <v>0.5733564814814799</v>
      </c>
      <c r="O10" s="153"/>
      <c r="P10" s="153"/>
      <c r="R10" s="21">
        <f>D12-D11</f>
        <v>0.0030324074074070118</v>
      </c>
    </row>
    <row r="11" spans="8:8" ht="15.6">
      <c r="A11" s="24" t="s">
        <v>6</v>
      </c>
      <c r="B11" s="20"/>
      <c r="C11" s="152">
        <f>C10+'L-7 KEY MKPR- JPVE(FINAL)'!$L5</f>
        <v>0.3389120370370367</v>
      </c>
      <c r="D11" s="25">
        <f>D10+'L-7 KEY NEW(JPVE)'!$M5</f>
        <v>0.35149305555555554</v>
      </c>
      <c r="E11" s="25">
        <f>E10+'L-7 KEY NEW(JPVE)'!$M5</f>
        <v>0.36329861111111156</v>
      </c>
      <c r="F11" s="25">
        <f>F10+'L-7 KEY NEW(JPVE)'!$M5</f>
        <v>0.38908564814814756</v>
      </c>
      <c r="G11" s="25">
        <f>G10+'L-7 KEY NEW(JPVE)'!$M5</f>
        <v>0.4126967592592586</v>
      </c>
      <c r="H11" s="25">
        <f>H10+'L-7 KEY NEW(JPVE)'!$M5</f>
        <v>0.43630787037036955</v>
      </c>
      <c r="I11" s="25">
        <f>I10+'L-7 KEY NEW(JPVE)'!$M5</f>
        <v>0.4599189814814806</v>
      </c>
      <c r="J11" s="25">
        <f>J10+'L-7 KEY NEW(JPVE)'!$M5</f>
        <v>0.48353009259259155</v>
      </c>
      <c r="K11" s="25">
        <f>K10+'L-7 KEY NEW(JPVE)'!$M5</f>
        <v>0.5071412037037025</v>
      </c>
      <c r="L11" s="25">
        <f>L10+'L-7 KEY NEW(JPVE)'!$M5</f>
        <v>0.5307523148148136</v>
      </c>
      <c r="M11" s="25">
        <f>M10+'L-7 KEY NEW(JPVE)'!$M5</f>
        <v>0.5543634259259245</v>
      </c>
      <c r="N11" s="26">
        <f>N10+'L-7 KEY NEW(JPVE)'!$M5</f>
        <v>0.5779745370370355</v>
      </c>
      <c r="O11" s="153"/>
      <c r="P11" s="153"/>
      <c r="R11" s="21">
        <f>D13-D12</f>
        <v>0.0018981481481479823</v>
      </c>
    </row>
    <row r="12" spans="8:8" ht="15.6">
      <c r="A12" s="24" t="s">
        <v>5</v>
      </c>
      <c r="B12" s="20"/>
      <c r="C12" s="152">
        <f>C11+'L-7 KEY MKPR- JPVE(FINAL)'!$L6</f>
        <v>0.3424074074074073</v>
      </c>
      <c r="D12" s="27">
        <f>D11+'L-7 KEY NEW(JPVE)'!$M6</f>
        <v>0.3545254629629634</v>
      </c>
      <c r="E12" s="27">
        <f>E11+'L-7 KEY NEW(JPVE)'!$M6</f>
        <v>0.3663310185185194</v>
      </c>
      <c r="F12" s="27">
        <f>F11+'L-7 KEY NEW(JPVE)'!$M6</f>
        <v>0.3921180555555554</v>
      </c>
      <c r="G12" s="27">
        <f>G11+'L-7 KEY NEW(JPVE)'!$M6</f>
        <v>0.4157291666666664</v>
      </c>
      <c r="H12" s="27">
        <f>H11+'L-7 KEY NEW(JPVE)'!$M6</f>
        <v>0.4393402777777774</v>
      </c>
      <c r="I12" s="27">
        <f>I11+'L-7 KEY NEW(JPVE)'!$M6</f>
        <v>0.4629513888888884</v>
      </c>
      <c r="J12" s="27">
        <f>J11+'L-7 KEY NEW(JPVE)'!$M6</f>
        <v>0.4865624999999994</v>
      </c>
      <c r="K12" s="27">
        <f>K11+'L-7 KEY NEW(JPVE)'!$M6</f>
        <v>0.5101736111111104</v>
      </c>
      <c r="L12" s="27">
        <f>L11+'L-7 KEY NEW(JPVE)'!$M6</f>
        <v>0.5337847222222214</v>
      </c>
      <c r="M12" s="27">
        <f>M11+'L-7 KEY NEW(JPVE)'!$M6</f>
        <v>0.5573958333333324</v>
      </c>
      <c r="N12" s="225">
        <f>N11+'L-7 KEY NEW(JPVE)'!$M6</f>
        <v>0.5810069444444435</v>
      </c>
      <c r="O12" s="153"/>
      <c r="P12" s="153"/>
      <c r="S12">
        <v>10.0</v>
      </c>
    </row>
    <row r="13" spans="8:8" ht="16.35">
      <c r="A13" s="24" t="s">
        <v>3</v>
      </c>
      <c r="B13" s="20"/>
      <c r="C13" s="152">
        <f>C12+'L-7 KEY MKPR- JPVE(FINAL)'!$L7</f>
        <v>0.3450231481481477</v>
      </c>
      <c r="D13" s="27">
        <f>D12+'L-7 KEY NEW(JPVE)'!$M7</f>
        <v>0.35642361111111115</v>
      </c>
      <c r="E13" s="27">
        <f>E12+'L-7 KEY NEW(JPVE)'!$M7</f>
        <v>0.36822916666666716</v>
      </c>
      <c r="F13" s="27">
        <f>F12+'L-7 KEY NEW(JPVE)'!$M7</f>
        <v>0.39401620370370316</v>
      </c>
      <c r="G13" s="27">
        <f>G12+'L-7 KEY NEW(JPVE)'!$M7</f>
        <v>0.41762731481481413</v>
      </c>
      <c r="H13" s="27">
        <f>H12+'L-7 KEY NEW(JPVE)'!$M7</f>
        <v>0.44123842592592516</v>
      </c>
      <c r="I13" s="27">
        <f>I12+'L-7 KEY NEW(JPVE)'!$M7</f>
        <v>0.46484953703703613</v>
      </c>
      <c r="J13" s="27">
        <f>J12+'L-7 KEY NEW(JPVE)'!$M7</f>
        <v>0.48846064814814716</v>
      </c>
      <c r="K13" s="27">
        <f>K12+'L-7 KEY NEW(JPVE)'!$M7</f>
        <v>0.5120717592592582</v>
      </c>
      <c r="L13" s="27">
        <f>L12+'L-7 KEY NEW(JPVE)'!$M7</f>
        <v>0.5356828703703691</v>
      </c>
      <c r="M13" s="27">
        <f>M12+'L-7 KEY NEW(JPVE)'!$M7</f>
        <v>0.5592939814814801</v>
      </c>
      <c r="N13" s="225">
        <f>N12+'L-7 KEY NEW(JPVE)'!$M7</f>
        <v>0.5829050925925922</v>
      </c>
      <c r="O13" s="153"/>
      <c r="P13" s="153"/>
      <c r="S13">
        <v>24.0</v>
      </c>
    </row>
    <row r="14" spans="8:8">
      <c r="A14" s="40" t="s">
        <v>8</v>
      </c>
      <c r="B14" s="228"/>
      <c r="C14" s="229" t="s">
        <v>10</v>
      </c>
      <c r="D14" s="230" t="s">
        <v>69</v>
      </c>
      <c r="E14" s="229" t="s">
        <v>10</v>
      </c>
      <c r="F14" s="230" t="s">
        <v>69</v>
      </c>
      <c r="G14" s="229" t="s">
        <v>10</v>
      </c>
      <c r="H14" s="230" t="s">
        <v>69</v>
      </c>
      <c r="I14" s="229" t="s">
        <v>10</v>
      </c>
      <c r="J14" s="230" t="s">
        <v>69</v>
      </c>
      <c r="K14" s="229" t="s">
        <v>10</v>
      </c>
      <c r="L14" s="230" t="s">
        <v>69</v>
      </c>
      <c r="M14" s="229" t="s">
        <v>10</v>
      </c>
      <c r="N14" s="230" t="s">
        <v>69</v>
      </c>
      <c r="O14" s="231"/>
      <c r="P14" s="231"/>
      <c r="S14">
        <v>5.0</v>
      </c>
    </row>
    <row r="15" spans="8:8" ht="16.35">
      <c r="A15" s="232"/>
      <c r="D15" s="27"/>
      <c r="N15" s="233"/>
      <c r="R15" s="21">
        <f>E7-E6</f>
        <v>0.005370370370370026</v>
      </c>
      <c r="S15">
        <v>39.0</v>
      </c>
    </row>
    <row r="16" spans="8:8" ht="21.75">
      <c r="A16" s="48" t="s">
        <v>1</v>
      </c>
      <c r="B16" s="49">
        <f>M2</f>
        <v>798.0</v>
      </c>
      <c r="C16" s="49">
        <f>N2</f>
        <v>799.0</v>
      </c>
      <c r="D16" s="49">
        <f t="shared" si="1" ref="C16:O16">B16</f>
        <v>798.0</v>
      </c>
      <c r="E16" s="49">
        <f t="shared" si="1"/>
        <v>799.0</v>
      </c>
      <c r="F16" s="49">
        <f t="shared" si="1"/>
        <v>798.0</v>
      </c>
      <c r="G16" s="49">
        <f t="shared" si="1"/>
        <v>799.0</v>
      </c>
      <c r="H16" s="49">
        <f t="shared" si="1"/>
        <v>798.0</v>
      </c>
      <c r="I16" s="49">
        <f t="shared" si="1"/>
        <v>799.0</v>
      </c>
      <c r="J16" s="49">
        <f t="shared" si="1"/>
        <v>798.0</v>
      </c>
      <c r="K16" s="49">
        <f t="shared" si="1"/>
        <v>799.0</v>
      </c>
      <c r="L16" s="49">
        <f t="shared" si="1"/>
        <v>798.0</v>
      </c>
      <c r="M16" s="49">
        <f t="shared" si="1"/>
        <v>799.0</v>
      </c>
      <c r="N16" s="50">
        <f t="shared" si="1"/>
        <v>798.0</v>
      </c>
      <c r="O16" s="223"/>
      <c r="P16" s="223"/>
    </row>
    <row r="17" spans="8:8" ht="18.75">
      <c r="A17" s="13"/>
      <c r="B17" s="14" t="s">
        <v>54</v>
      </c>
      <c r="C17" s="224" t="s">
        <v>53</v>
      </c>
      <c r="D17" s="14" t="s">
        <v>54</v>
      </c>
      <c r="E17" s="224" t="s">
        <v>53</v>
      </c>
      <c r="F17" s="14" t="s">
        <v>54</v>
      </c>
      <c r="G17" s="224" t="s">
        <v>53</v>
      </c>
      <c r="H17" s="14" t="s">
        <v>54</v>
      </c>
      <c r="I17" s="224" t="s">
        <v>53</v>
      </c>
      <c r="J17" s="14" t="s">
        <v>54</v>
      </c>
      <c r="K17" s="224" t="s">
        <v>53</v>
      </c>
      <c r="L17" s="14" t="s">
        <v>54</v>
      </c>
      <c r="M17" s="224" t="s">
        <v>53</v>
      </c>
      <c r="N17" s="14" t="s">
        <v>54</v>
      </c>
      <c r="O17" s="234"/>
      <c r="P17" s="234"/>
    </row>
    <row r="18" spans="8:8" ht="15.6">
      <c r="A18" s="18" t="s">
        <v>3</v>
      </c>
      <c r="B18" s="21">
        <f>N4+'L-7 KEY MKPR- JPVE(FINAL)'!$O$9</f>
        <v>0.5826388888888882</v>
      </c>
      <c r="C18" s="21">
        <f>B18+'L-7 KEY MKPR- JPVE(FINAL)'!$O$9</f>
        <v>0.6062499999999992</v>
      </c>
      <c r="D18" s="21">
        <f>C18+'L-7 KEY MKPR- JPVE(FINAL)'!$O$9</f>
        <v>0.6298611111111101</v>
      </c>
      <c r="E18" s="21">
        <f>D18+'L-7 KEY MKPR- JPVE(FINAL)'!$O$9</f>
        <v>0.6534722222222211</v>
      </c>
      <c r="F18" s="21">
        <f>E18+'L-7 KEY MKPR- JPVE(FINAL)'!$O$9</f>
        <v>0.6770833333333321</v>
      </c>
      <c r="G18" s="21">
        <f>F18+'L-7 KEY MKPR- JPVE(FINAL)'!$O$9</f>
        <v>0.7006944444444432</v>
      </c>
      <c r="H18" s="21">
        <f>G18+'L-7 KEY MKPR- JPVE(FINAL)'!$O$9</f>
        <v>0.7243055555555541</v>
      </c>
      <c r="I18" s="21">
        <f>H18+'L-7 KEY MKPR- JPVE(FINAL)'!$O$9</f>
        <v>0.7479166666666651</v>
      </c>
      <c r="J18" s="21">
        <f>I18+'L-7 KEY MKPR- JPVE(FINAL)'!$O$9</f>
        <v>0.7715277777777761</v>
      </c>
      <c r="K18" s="21">
        <f>J18+'L-7 KEY MKPR- JPVE(FINAL)'!$O$9</f>
        <v>0.7951388888888872</v>
      </c>
      <c r="L18" s="21">
        <f>K18+'L-7 KEY MKPR- JPVE(FINAL)'!$O$9</f>
        <v>0.8187499999999981</v>
      </c>
      <c r="M18" s="21">
        <f>L18+'L-7 KEY MKPR- JPVE(FINAL)'!$O$9</f>
        <v>0.8423611111111091</v>
      </c>
      <c r="N18" s="22">
        <f>M18+'L-7 KEY MKPR- JPVE(FINAL)'!$O$9</f>
        <v>0.8659722222222201</v>
      </c>
      <c r="O18" s="153"/>
      <c r="P18" s="153"/>
      <c r="R18" s="21">
        <f>E13-E10</f>
        <v>0.009548611111110994</v>
      </c>
    </row>
    <row r="19" spans="8:8" ht="15.6">
      <c r="A19" s="24" t="s">
        <v>5</v>
      </c>
      <c r="B19" s="25">
        <f>B18+'L-7 KEY NEW(JPVE)'!$D5</f>
        <v>0.5849999999999992</v>
      </c>
      <c r="C19" s="25">
        <f>C18+'L-7 KEY NEW(JPVE)'!$D5</f>
        <v>0.6086111111111101</v>
      </c>
      <c r="D19" s="25">
        <f>D18+'L-7 KEY NEW(JPVE)'!$D5</f>
        <v>0.6322222222222211</v>
      </c>
      <c r="E19" s="25">
        <f>E18+'L-7 KEY NEW(JPVE)'!$D5</f>
        <v>0.6558333333333322</v>
      </c>
      <c r="F19" s="25">
        <f>F18+'L-7 KEY NEW(JPVE)'!$D5</f>
        <v>0.6794444444444432</v>
      </c>
      <c r="G19" s="25">
        <f>G18+'L-7 KEY NEW(JPVE)'!$D5</f>
        <v>0.7030555555555541</v>
      </c>
      <c r="H19" s="25">
        <f>H18+'L-7 KEY NEW(JPVE)'!$D5</f>
        <v>0.7266666666666651</v>
      </c>
      <c r="I19" s="25">
        <f>I18+'L-7 KEY NEW(JPVE)'!$D5</f>
        <v>0.7502777777777762</v>
      </c>
      <c r="J19" s="25">
        <f>J18+'L-7 KEY NEW(JPVE)'!$D5</f>
        <v>0.7738888888888872</v>
      </c>
      <c r="K19" s="25">
        <f>K18+'L-7 KEY NEW(JPVE)'!$D5</f>
        <v>0.7974999999999981</v>
      </c>
      <c r="L19" s="25">
        <f>L18+'L-7 KEY NEW(JPVE)'!$D5</f>
        <v>0.8211111111111091</v>
      </c>
      <c r="M19" s="25">
        <f>M18+'L-7 KEY NEW(JPVE)'!$D5</f>
        <v>0.8447222222222202</v>
      </c>
      <c r="N19" s="26">
        <f>N18+'L-7 KEY NEW(JPVE)'!$D5</f>
        <v>0.8683333333333312</v>
      </c>
      <c r="O19" s="153"/>
      <c r="P19" s="153"/>
    </row>
    <row r="20" spans="8:8" ht="15.6">
      <c r="A20" s="24" t="s">
        <v>6</v>
      </c>
      <c r="B20" s="25">
        <f>B19+'L-7 KEY NEW(JPVE)'!$D6</f>
        <v>0.5880324074074064</v>
      </c>
      <c r="C20" s="25">
        <f>C19+'L-7 KEY NEW(JPVE)'!$D6</f>
        <v>0.6116435185185174</v>
      </c>
      <c r="D20" s="25">
        <f>D19+'L-7 KEY NEW(JPVE)'!$D6</f>
        <v>0.6352546296296284</v>
      </c>
      <c r="E20" s="25">
        <f>E19+'L-7 KEY NEW(JPVE)'!$D6</f>
        <v>0.6588657407407394</v>
      </c>
      <c r="F20" s="25">
        <f>F19+'L-7 KEY NEW(JPVE)'!$D6</f>
        <v>0.6824768518518504</v>
      </c>
      <c r="G20" s="25">
        <f>G19+'L-7 KEY NEW(JPVE)'!$D6</f>
        <v>0.7060879629629614</v>
      </c>
      <c r="H20" s="25">
        <f>H19+'L-7 KEY NEW(JPVE)'!$D6</f>
        <v>0.7296990740740724</v>
      </c>
      <c r="I20" s="25">
        <f>I19+'L-7 KEY NEW(JPVE)'!$D6</f>
        <v>0.7533101851851834</v>
      </c>
      <c r="J20" s="25">
        <f>J19+'L-7 KEY NEW(JPVE)'!$D6</f>
        <v>0.7769212962962944</v>
      </c>
      <c r="K20" s="25">
        <f>K19+'L-7 KEY NEW(JPVE)'!$D6</f>
        <v>0.8005324074074054</v>
      </c>
      <c r="L20" s="25">
        <f>L19+'L-7 KEY NEW(JPVE)'!$D6</f>
        <v>0.8241435185185164</v>
      </c>
      <c r="M20" s="25">
        <f>M19+'L-7 KEY NEW(JPVE)'!$D6</f>
        <v>0.8477546296296274</v>
      </c>
      <c r="N20" s="26">
        <f>N19+'L-7 KEY NEW(JPVE)'!$D6</f>
        <v>0.8713657407407384</v>
      </c>
      <c r="O20" s="153"/>
      <c r="P20" s="153"/>
    </row>
    <row r="21" spans="8:8" ht="16.35">
      <c r="A21" s="18" t="s">
        <v>7</v>
      </c>
      <c r="B21" s="25">
        <f>B20+'L-7 KEY NEW(JPVE)'!$D7</f>
        <v>0.5934027777777764</v>
      </c>
      <c r="C21" s="25">
        <f>C20+'L-7 KEY NEW(JPVE)'!$D7</f>
        <v>0.6170138888888873</v>
      </c>
      <c r="D21" s="25">
        <f>D20+'L-7 KEY NEW(JPVE)'!$D7</f>
        <v>0.6406249999999983</v>
      </c>
      <c r="E21" s="25">
        <f>E20+'L-7 KEY NEW(JPVE)'!$D7</f>
        <v>0.6642361111111094</v>
      </c>
      <c r="F21" s="25">
        <f>F20+'L-7 KEY NEW(JPVE)'!$D7</f>
        <v>0.6878472222222204</v>
      </c>
      <c r="G21" s="25">
        <f>G20+'L-7 KEY NEW(JPVE)'!$D7</f>
        <v>0.7114583333333313</v>
      </c>
      <c r="H21" s="25">
        <f>H20+'L-7 KEY NEW(JPVE)'!$D7</f>
        <v>0.7350694444444423</v>
      </c>
      <c r="I21" s="25">
        <f>I20+'L-7 KEY NEW(JPVE)'!$D7</f>
        <v>0.7586805555555534</v>
      </c>
      <c r="J21" s="25">
        <f>J20+'L-7 KEY NEW(JPVE)'!$D7</f>
        <v>0.7822916666666644</v>
      </c>
      <c r="K21" s="25">
        <f>K20+'L-7 KEY NEW(JPVE)'!$D7</f>
        <v>0.8059027777777753</v>
      </c>
      <c r="L21" s="25">
        <f>L20+'L-7 KEY NEW(JPVE)'!$D7</f>
        <v>0.8295138888888863</v>
      </c>
      <c r="M21" s="25">
        <f>M20+'L-7 KEY NEW(JPVE)'!$D7</f>
        <v>0.8531249999999974</v>
      </c>
      <c r="N21" s="26">
        <f>N20+'L-7 KEY NEW(JPVE)'!$D7</f>
        <v>0.8767361111111084</v>
      </c>
      <c r="O21" s="153"/>
      <c r="P21" s="153"/>
    </row>
    <row r="22" spans="8:8" ht="16.35">
      <c r="A22" s="30" t="s">
        <v>8</v>
      </c>
      <c r="B22" s="31" t="s">
        <v>2</v>
      </c>
      <c r="C22" s="226" t="s">
        <v>56</v>
      </c>
      <c r="D22" s="31" t="s">
        <v>2</v>
      </c>
      <c r="E22" s="226" t="s">
        <v>56</v>
      </c>
      <c r="F22" s="31" t="s">
        <v>2</v>
      </c>
      <c r="G22" s="226" t="s">
        <v>56</v>
      </c>
      <c r="H22" s="31" t="s">
        <v>2</v>
      </c>
      <c r="I22" s="226" t="s">
        <v>56</v>
      </c>
      <c r="J22" s="31" t="s">
        <v>2</v>
      </c>
      <c r="K22" s="226" t="s">
        <v>56</v>
      </c>
      <c r="L22" s="31" t="s">
        <v>2</v>
      </c>
      <c r="M22" s="226" t="s">
        <v>56</v>
      </c>
      <c r="N22" s="31" t="s">
        <v>2</v>
      </c>
      <c r="O22" s="235"/>
      <c r="P22" s="235"/>
      <c r="R22" s="21">
        <f>F7-F4</f>
        <v>0.010763888888887962</v>
      </c>
    </row>
    <row r="23" spans="8:8" ht="21.0">
      <c r="A23" s="34" t="s">
        <v>9</v>
      </c>
      <c r="B23" s="35">
        <v>798.0</v>
      </c>
      <c r="C23" s="35">
        <f t="shared" si="2" ref="C23:G23">C16</f>
        <v>799.0</v>
      </c>
      <c r="D23" s="35">
        <v>798.0</v>
      </c>
      <c r="E23" s="35">
        <f t="shared" si="2"/>
        <v>799.0</v>
      </c>
      <c r="F23" s="35">
        <v>798.0</v>
      </c>
      <c r="G23" s="35">
        <f t="shared" si="2"/>
        <v>799.0</v>
      </c>
      <c r="H23" s="35">
        <v>798.0</v>
      </c>
      <c r="I23" s="35">
        <f t="shared" si="3" ref="I23:M23">I16</f>
        <v>799.0</v>
      </c>
      <c r="J23" s="35">
        <v>798.0</v>
      </c>
      <c r="K23" s="35">
        <f t="shared" si="3"/>
        <v>799.0</v>
      </c>
      <c r="L23" s="236">
        <v>798.0</v>
      </c>
      <c r="M23" s="35">
        <f t="shared" si="3"/>
        <v>799.0</v>
      </c>
      <c r="N23" s="237">
        <v>798.0</v>
      </c>
      <c r="O23" s="238"/>
      <c r="P23" s="238"/>
    </row>
    <row r="24" spans="8:8" ht="15.6">
      <c r="A24" s="24" t="s">
        <v>7</v>
      </c>
      <c r="B24" s="25">
        <f>B21+'L-7 KEY MKPR- JPVE(FINAL)'!$N$10</f>
        <v>0.5969675925925908</v>
      </c>
      <c r="C24" s="25">
        <f>C21+'L-7 KEY MKPR- JPVE(FINAL)'!$N$10</f>
        <v>0.6205787037037018</v>
      </c>
      <c r="D24" s="25">
        <f>D21+'L-7 KEY MKPR- JPVE(FINAL)'!$N$10</f>
        <v>0.6441898148148129</v>
      </c>
      <c r="E24" s="25">
        <f>E21+'L-7 KEY MKPR- JPVE(FINAL)'!$N$10</f>
        <v>0.6678009259259239</v>
      </c>
      <c r="F24" s="25">
        <f>F21+'L-7 KEY MKPR- JPVE(FINAL)'!$N$10</f>
        <v>0.6914120370370348</v>
      </c>
      <c r="G24" s="25">
        <f>G21+'L-7 KEY MKPR- JPVE(FINAL)'!$N$10</f>
        <v>0.7150231481481458</v>
      </c>
      <c r="H24" s="25">
        <f>H21+'L-7 KEY MKPR- JPVE(FINAL)'!$N$10</f>
        <v>0.7386342592592569</v>
      </c>
      <c r="I24" s="25">
        <f>I21+'L-7 KEY MKPR- JPVE(FINAL)'!$N$10</f>
        <v>0.7622453703703679</v>
      </c>
      <c r="J24" s="25">
        <f>J21+'L-7 KEY MKPR- JPVE(FINAL)'!$N$10</f>
        <v>0.7858564814814789</v>
      </c>
      <c r="K24" s="25">
        <f>K21+'L-7 KEY MKPR- JPVE(FINAL)'!$N$10</f>
        <v>0.8094675925925898</v>
      </c>
      <c r="L24" s="25">
        <f>L21+'L-7 KEY MKPR- JPVE(FINAL)'!$N$10</f>
        <v>0.8330787037037009</v>
      </c>
      <c r="M24" s="25">
        <f>M21+'L-7 KEY MKPR- JPVE(FINAL)'!$N$10</f>
        <v>0.8566898148148119</v>
      </c>
      <c r="N24" s="26">
        <f>N21+'L-7 KEY MKPR- JPVE(FINAL)'!$N$10</f>
        <v>0.8803009259259229</v>
      </c>
      <c r="O24" s="153"/>
      <c r="P24" s="153"/>
    </row>
    <row r="25" spans="8:8" ht="15.6">
      <c r="A25" s="24" t="s">
        <v>6</v>
      </c>
      <c r="B25" s="25">
        <f>B24+'L-7 KEY NEW(JPVE)'!$M5</f>
        <v>0.6015856481481465</v>
      </c>
      <c r="C25" s="25">
        <f>C24+'L-7 KEY NEW(JPVE)'!$M5</f>
        <v>0.6251967592592576</v>
      </c>
      <c r="D25" s="25">
        <f>D24+'L-7 KEY NEW(JPVE)'!$M5</f>
        <v>0.6488078703703685</v>
      </c>
      <c r="E25" s="25">
        <f>E24+'L-7 KEY NEW(JPVE)'!$M5</f>
        <v>0.6724189814814795</v>
      </c>
      <c r="F25" s="25">
        <f>F24+'L-7 KEY NEW(JPVE)'!$M5</f>
        <v>0.6960300925925905</v>
      </c>
      <c r="G25" s="25">
        <f>G24+'L-7 KEY NEW(JPVE)'!$M5</f>
        <v>0.7196412037037015</v>
      </c>
      <c r="H25" s="25">
        <f>H24+'L-7 KEY NEW(JPVE)'!$M5</f>
        <v>0.7432523148148125</v>
      </c>
      <c r="I25" s="25">
        <f>I24+'L-7 KEY NEW(JPVE)'!$M5</f>
        <v>0.7668634259259235</v>
      </c>
      <c r="J25" s="25">
        <f>J24+'L-7 KEY NEW(JPVE)'!$M5</f>
        <v>0.7904745370370345</v>
      </c>
      <c r="K25" s="25">
        <f>K24+'L-7 KEY NEW(JPVE)'!$M5</f>
        <v>0.8140856481481455</v>
      </c>
      <c r="L25" s="25">
        <f>L24+'L-7 KEY NEW(JPVE)'!$M5</f>
        <v>0.8376967592592565</v>
      </c>
      <c r="M25" s="25">
        <f>M24+'L-7 KEY NEW(JPVE)'!$M5</f>
        <v>0.8613078703703675</v>
      </c>
      <c r="N25" s="26">
        <f>N24+'L-7 KEY NEW(JPVE)'!$M5</f>
        <v>0.8849189814814785</v>
      </c>
      <c r="O25" s="153"/>
      <c r="P25" s="153"/>
    </row>
    <row r="26" spans="8:8" ht="15.6">
      <c r="A26" s="24" t="s">
        <v>5</v>
      </c>
      <c r="B26" s="25">
        <f>B25+'L-7 KEY NEW(JPVE)'!$M6</f>
        <v>0.6046180555555544</v>
      </c>
      <c r="C26" s="25">
        <f>C25+'L-7 KEY NEW(JPVE)'!$M6</f>
        <v>0.6282291666666654</v>
      </c>
      <c r="D26" s="25">
        <f>D25+'L-7 KEY NEW(JPVE)'!$M6</f>
        <v>0.6518402777777764</v>
      </c>
      <c r="E26" s="25">
        <f>E25+'L-7 KEY NEW(JPVE)'!$M6</f>
        <v>0.6754513888888874</v>
      </c>
      <c r="F26" s="25">
        <f>F25+'L-7 KEY NEW(JPVE)'!$M6</f>
        <v>0.6990624999999984</v>
      </c>
      <c r="G26" s="25">
        <f>G25+'L-7 KEY NEW(JPVE)'!$M6</f>
        <v>0.7226736111111094</v>
      </c>
      <c r="H26" s="25">
        <f>H25+'L-7 KEY NEW(JPVE)'!$M6</f>
        <v>0.7462847222222204</v>
      </c>
      <c r="I26" s="25">
        <f>I25+'L-7 KEY NEW(JPVE)'!$M6</f>
        <v>0.7698958333333314</v>
      </c>
      <c r="J26" s="25">
        <f>J25+'L-7 KEY NEW(JPVE)'!$M6</f>
        <v>0.7935069444444424</v>
      </c>
      <c r="K26" s="25">
        <f>K25+'L-7 KEY NEW(JPVE)'!$M6</f>
        <v>0.8171180555555534</v>
      </c>
      <c r="L26" s="25">
        <f>L25+'L-7 KEY NEW(JPVE)'!$M6</f>
        <v>0.8407291666666644</v>
      </c>
      <c r="M26" s="25">
        <f>M25+'L-7 KEY NEW(JPVE)'!$M6</f>
        <v>0.8643402777777754</v>
      </c>
      <c r="N26" s="26">
        <f>N25+'L-7 KEY NEW(JPVE)'!$M6</f>
        <v>0.8879513888888864</v>
      </c>
      <c r="O26" s="153"/>
      <c r="P26" s="153"/>
    </row>
    <row r="27" spans="8:8" ht="16.35">
      <c r="A27" s="24" t="s">
        <v>3</v>
      </c>
      <c r="B27" s="25">
        <f>B26+'L-7 KEY NEW(JPVE)'!$M7</f>
        <v>0.6065162037037022</v>
      </c>
      <c r="C27" s="25">
        <f>C26+'L-7 KEY NEW(JPVE)'!$M7</f>
        <v>0.6301273148148131</v>
      </c>
      <c r="D27" s="25">
        <f>D26+'L-7 KEY NEW(JPVE)'!$M7</f>
        <v>0.6537384259259241</v>
      </c>
      <c r="E27" s="25">
        <f>E26+'L-7 KEY NEW(JPVE)'!$M7</f>
        <v>0.6773495370370352</v>
      </c>
      <c r="F27" s="25">
        <f>F26+'L-7 KEY NEW(JPVE)'!$M7</f>
        <v>0.7009606481481462</v>
      </c>
      <c r="G27" s="25">
        <f>G26+'L-7 KEY NEW(JPVE)'!$M7</f>
        <v>0.7245717592592571</v>
      </c>
      <c r="H27" s="25">
        <f>H26+'L-7 KEY NEW(JPVE)'!$M7</f>
        <v>0.7481828703703681</v>
      </c>
      <c r="I27" s="25">
        <f>I26+'L-7 KEY NEW(JPVE)'!$M7</f>
        <v>0.7717939814814792</v>
      </c>
      <c r="J27" s="25">
        <f>J26+'L-7 KEY NEW(JPVE)'!$M7</f>
        <v>0.7954050925925902</v>
      </c>
      <c r="K27" s="25">
        <f>K26+'L-7 KEY NEW(JPVE)'!$M7</f>
        <v>0.8190162037037011</v>
      </c>
      <c r="L27" s="25">
        <f>L26+'L-7 KEY NEW(JPVE)'!$M7</f>
        <v>0.8426273148148121</v>
      </c>
      <c r="M27" s="25">
        <f>M26+'L-7 KEY NEW(JPVE)'!$M7</f>
        <v>0.8662384259259232</v>
      </c>
      <c r="N27" s="26">
        <f>N26+'L-7 KEY NEW(JPVE)'!$M7</f>
        <v>0.8898495370370342</v>
      </c>
      <c r="O27" s="153"/>
      <c r="P27" s="153"/>
    </row>
    <row r="28" spans="8:8" ht="15.15">
      <c r="A28" s="105" t="s">
        <v>8</v>
      </c>
      <c r="B28" s="239" t="s">
        <v>10</v>
      </c>
      <c r="C28" s="240" t="s">
        <v>69</v>
      </c>
      <c r="D28" s="239" t="s">
        <v>10</v>
      </c>
      <c r="E28" s="240" t="s">
        <v>69</v>
      </c>
      <c r="F28" s="239" t="s">
        <v>10</v>
      </c>
      <c r="G28" s="240" t="s">
        <v>69</v>
      </c>
      <c r="H28" s="239" t="s">
        <v>10</v>
      </c>
      <c r="I28" s="240" t="s">
        <v>69</v>
      </c>
      <c r="J28" s="239" t="s">
        <v>10</v>
      </c>
      <c r="K28" s="240" t="s">
        <v>69</v>
      </c>
      <c r="L28" s="239" t="s">
        <v>10</v>
      </c>
      <c r="M28" s="240" t="s">
        <v>69</v>
      </c>
      <c r="N28" s="239" t="s">
        <v>10</v>
      </c>
      <c r="O28" s="241"/>
      <c r="P28" s="241"/>
    </row>
    <row r="29" spans="8:8" ht="15.15">
      <c r="A29" s="232"/>
      <c r="N29" s="233"/>
    </row>
    <row r="30" spans="8:8" ht="21.75">
      <c r="A30" s="48" t="s">
        <v>1</v>
      </c>
      <c r="B30" s="49">
        <f>M16</f>
        <v>799.0</v>
      </c>
      <c r="C30" s="49">
        <f>N16</f>
        <v>798.0</v>
      </c>
      <c r="D30" s="49">
        <f t="shared" si="4" ref="C30:O30">B30</f>
        <v>799.0</v>
      </c>
      <c r="E30" s="49">
        <f t="shared" si="4"/>
        <v>798.0</v>
      </c>
      <c r="F30" s="49">
        <f t="shared" si="4"/>
        <v>799.0</v>
      </c>
      <c r="G30" s="49">
        <f t="shared" si="4"/>
        <v>798.0</v>
      </c>
      <c r="H30" s="49">
        <f t="shared" si="4"/>
        <v>799.0</v>
      </c>
      <c r="I30" s="49">
        <f t="shared" si="4"/>
        <v>798.0</v>
      </c>
      <c r="J30" s="49">
        <f t="shared" si="4"/>
        <v>799.0</v>
      </c>
      <c r="K30" s="49">
        <f t="shared" si="4"/>
        <v>798.0</v>
      </c>
      <c r="L30" s="49">
        <f t="shared" si="4"/>
        <v>799.0</v>
      </c>
      <c r="M30" s="49">
        <f t="shared" si="4"/>
        <v>798.0</v>
      </c>
      <c r="N30" s="50">
        <f t="shared" si="4"/>
        <v>799.0</v>
      </c>
      <c r="O30" s="223"/>
      <c r="P30" s="223"/>
      <c r="R30" s="22"/>
    </row>
    <row r="31" spans="8:8" ht="18.75">
      <c r="A31" s="13"/>
      <c r="B31" s="224" t="s">
        <v>53</v>
      </c>
      <c r="C31" s="14" t="s">
        <v>54</v>
      </c>
      <c r="D31" s="224" t="s">
        <v>53</v>
      </c>
      <c r="E31" s="14" t="s">
        <v>54</v>
      </c>
      <c r="F31" s="224" t="s">
        <v>53</v>
      </c>
      <c r="G31" s="14" t="s">
        <v>54</v>
      </c>
      <c r="H31" s="224" t="s">
        <v>53</v>
      </c>
      <c r="I31" s="14" t="s">
        <v>54</v>
      </c>
      <c r="J31" s="224" t="s">
        <v>53</v>
      </c>
      <c r="K31" s="14" t="s">
        <v>54</v>
      </c>
      <c r="L31" s="224" t="s">
        <v>53</v>
      </c>
      <c r="M31" s="14" t="s">
        <v>54</v>
      </c>
      <c r="N31" s="224" t="s">
        <v>53</v>
      </c>
      <c r="O31" s="150"/>
      <c r="P31" s="150"/>
      <c r="R31" s="22">
        <f>C35-C34</f>
        <v>0.005370370370370026</v>
      </c>
    </row>
    <row r="32" spans="8:8" ht="15.6">
      <c r="A32" s="18" t="s">
        <v>3</v>
      </c>
      <c r="B32" s="21">
        <f>N18+'L-7 KEY MKPR- JPVE(FINAL)'!$O$9</f>
        <v>0.8895833333333312</v>
      </c>
      <c r="C32" s="21">
        <f>B32+'L-7 KEY MKPR- JPVE(FINAL)'!$O$9</f>
        <v>0.9131944444444421</v>
      </c>
      <c r="D32" s="21">
        <f>C32+'L-7 KEY MKPR- JPVE(FINAL)'!$O$9</f>
        <v>0.9368055555555531</v>
      </c>
      <c r="E32" s="21">
        <f>D32+'L-7 KEY MKPR- JPVE(FINAL)'!$O$9</f>
        <v>0.9604166666666641</v>
      </c>
      <c r="F32" s="21">
        <f>E32+'L-7 KEY MKPR- JPVE(FINAL)'!$O$9</f>
        <v>0.9840277777777752</v>
      </c>
      <c r="G32" s="21">
        <f>F32+'L-7 KEY MKPR- JPVE(FINAL)'!$O$9</f>
        <v>1.007638888888886</v>
      </c>
      <c r="H32" s="21">
        <f>G32+'L-7 KEY MKPR- JPVE(FINAL)'!$O$9</f>
        <v>1.031250000000001</v>
      </c>
      <c r="I32" s="21">
        <f>H32+'L-7 KEY MKPR- JPVE(FINAL)'!$O$9</f>
        <v>1.054861111111111</v>
      </c>
      <c r="J32" s="21">
        <f>I32+'L-7 KEY MKPR- JPVE(FINAL)'!$O$9</f>
        <v>1.078472222222221</v>
      </c>
      <c r="K32" s="21">
        <f>J32+'L-7 KEY MKPR- JPVE(FINAL)'!$O$9</f>
        <v>1.102083333333331</v>
      </c>
      <c r="L32" s="21">
        <f>K32+'L-7 KEY MKPR- JPVE(FINAL)'!$O$9</f>
        <v>1.125694444444441</v>
      </c>
      <c r="M32" s="21">
        <f>L32+'L-7 KEY MKPR- JPVE(FINAL)'!$O$9</f>
        <v>1.149305555555551</v>
      </c>
      <c r="N32" s="22">
        <f>M32+'L-7 KEY MKPR- JPVE(FINAL)'!$O$9</f>
        <v>1.172916666666661</v>
      </c>
      <c r="O32" s="153"/>
      <c r="P32" s="153"/>
      <c r="R32" s="22"/>
    </row>
    <row r="33" spans="8:8" ht="15.6">
      <c r="A33" s="24" t="s">
        <v>5</v>
      </c>
      <c r="B33" s="25">
        <f>B32+'L-7 KEY NEW(JPVE)'!$D5</f>
        <v>0.8919444444444421</v>
      </c>
      <c r="C33" s="25">
        <f>C32+'L-7 KEY NEW(JPVE)'!$D5</f>
        <v>0.9155555555555531</v>
      </c>
      <c r="D33" s="25">
        <f>D32+'L-7 KEY NEW(JPVE)'!$D5</f>
        <v>0.9391666666666642</v>
      </c>
      <c r="E33" s="25">
        <f>E32+'L-7 KEY NEW(JPVE)'!$D5</f>
        <v>0.9627777777777752</v>
      </c>
      <c r="F33" s="25">
        <f>F32+'L-7 KEY NEW(JPVE)'!$D5</f>
        <v>0.9863888888888861</v>
      </c>
      <c r="G33" s="25">
        <f>G32+'L-7 KEY NEW(JPVE)'!$D5</f>
        <v>1.0100000000000011</v>
      </c>
      <c r="H33" s="25">
        <f>H32+'L-7 KEY NEW(JPVE)'!$D5</f>
        <v>1.033611111111111</v>
      </c>
      <c r="I33" s="25">
        <f>I32+'L-7 KEY NEW(JPVE)'!$D5</f>
        <v>1.057222222222221</v>
      </c>
      <c r="J33" s="25">
        <f>J32+'L-7 KEY NEW(JPVE)'!$D5</f>
        <v>1.080833333333331</v>
      </c>
      <c r="K33" s="25">
        <f>K32+'L-7 KEY NEW(JPVE)'!$D5</f>
        <v>1.104444444444441</v>
      </c>
      <c r="L33" s="25">
        <f>L32+'L-7 KEY NEW(JPVE)'!$D5</f>
        <v>1.128055555555551</v>
      </c>
      <c r="M33" s="25">
        <f>M32+'L-7 KEY NEW(JPVE)'!$D5</f>
        <v>1.151666666666661</v>
      </c>
      <c r="N33" s="26">
        <f>N32+'L-7 KEY NEW(JPVE)'!$D5</f>
        <v>1.175277777777771</v>
      </c>
      <c r="O33" s="153"/>
      <c r="P33" s="153"/>
    </row>
    <row r="34" spans="8:8" ht="15.6">
      <c r="A34" s="24" t="s">
        <v>6</v>
      </c>
      <c r="B34" s="25">
        <f>B33+'L-7 KEY NEW(JPVE)'!$D6</f>
        <v>0.8949768518518494</v>
      </c>
      <c r="C34" s="25">
        <f>C33+'L-7 KEY NEW(JPVE)'!$D6</f>
        <v>0.9185879629629604</v>
      </c>
      <c r="D34" s="25">
        <f>D33+'L-7 KEY NEW(JPVE)'!$D6</f>
        <v>0.9421990740740714</v>
      </c>
      <c r="E34" s="25">
        <f>E33+'L-7 KEY NEW(JPVE)'!$D6</f>
        <v>0.9658101851851824</v>
      </c>
      <c r="F34" s="25">
        <f>F33+'L-7 KEY NEW(JPVE)'!$D6</f>
        <v>0.9894212962962934</v>
      </c>
      <c r="G34" s="25">
        <f>G33+'L-7 KEY NEW(JPVE)'!$D6</f>
        <v>1.0130324074074073</v>
      </c>
      <c r="H34" s="25">
        <f>H33+'L-7 KEY NEW(JPVE)'!$D6</f>
        <v>1.0366435185185172</v>
      </c>
      <c r="I34" s="25">
        <f>I33+'L-7 KEY NEW(JPVE)'!$D6</f>
        <v>1.0602546296296274</v>
      </c>
      <c r="J34" s="25">
        <f>J33+'L-7 KEY NEW(JPVE)'!$D6</f>
        <v>1.0838657407407373</v>
      </c>
      <c r="K34" s="25">
        <f>K33+'L-7 KEY NEW(JPVE)'!$D6</f>
        <v>1.1074768518518472</v>
      </c>
      <c r="L34" s="25">
        <f>L33+'L-7 KEY NEW(JPVE)'!$D6</f>
        <v>1.1310879629629573</v>
      </c>
      <c r="M34" s="25">
        <f>M33+'L-7 KEY NEW(JPVE)'!$D6</f>
        <v>1.1546990740740672</v>
      </c>
      <c r="N34" s="26">
        <f>N33+'L-7 KEY NEW(JPVE)'!$D6</f>
        <v>1.1783101851851774</v>
      </c>
      <c r="O34" s="153"/>
      <c r="P34" s="153"/>
    </row>
    <row r="35" spans="8:8" ht="16.35">
      <c r="A35" s="18" t="s">
        <v>7</v>
      </c>
      <c r="B35" s="25">
        <f>B34+'L-7 KEY NEW(JPVE)'!$D7</f>
        <v>0.9003472222222194</v>
      </c>
      <c r="C35" s="25">
        <f>C34+'L-7 KEY NEW(JPVE)'!$D7</f>
        <v>0.9239583333333303</v>
      </c>
      <c r="D35" s="25">
        <f>D34+'L-7 KEY NEW(JPVE)'!$D7</f>
        <v>0.9475694444444414</v>
      </c>
      <c r="E35" s="25">
        <f>E34+'L-7 KEY NEW(JPVE)'!$D7</f>
        <v>0.9711805555555524</v>
      </c>
      <c r="F35" s="25">
        <f>F34+'L-7 KEY NEW(JPVE)'!$D7</f>
        <v>0.9947916666666634</v>
      </c>
      <c r="G35" s="25">
        <f>G34+'L-7 KEY NEW(JPVE)'!$D7</f>
        <v>1.0184027777777804</v>
      </c>
      <c r="H35" s="25">
        <f>H34+'L-7 KEY NEW(JPVE)'!$D7</f>
        <v>1.0420138888888906</v>
      </c>
      <c r="I35" s="25">
        <f>I34+'L-7 KEY NEW(JPVE)'!$D7</f>
        <v>1.0656250000000005</v>
      </c>
      <c r="J35" s="25">
        <f>J34+'L-7 KEY NEW(JPVE)'!$D7</f>
        <v>1.0892361111111104</v>
      </c>
      <c r="K35" s="25">
        <f>K34+'L-7 KEY NEW(JPVE)'!$D7</f>
        <v>1.1128472222222205</v>
      </c>
      <c r="L35" s="25">
        <f>L34+'L-7 KEY NEW(JPVE)'!$D7</f>
        <v>1.1364583333333305</v>
      </c>
      <c r="M35" s="25">
        <f>M34+'L-7 KEY NEW(JPVE)'!$D7</f>
        <v>1.1600694444444404</v>
      </c>
      <c r="N35" s="26">
        <f>N34+'L-7 KEY NEW(JPVE)'!$D7</f>
        <v>1.1836805555555505</v>
      </c>
      <c r="O35" s="153"/>
      <c r="P35" s="153"/>
    </row>
    <row r="36" spans="8:8" ht="15.15">
      <c r="A36" s="30" t="s">
        <v>8</v>
      </c>
      <c r="B36" s="226" t="s">
        <v>56</v>
      </c>
      <c r="C36" s="31" t="s">
        <v>2</v>
      </c>
      <c r="D36" s="226" t="s">
        <v>56</v>
      </c>
      <c r="E36" s="31" t="s">
        <v>2</v>
      </c>
      <c r="F36" s="226" t="s">
        <v>56</v>
      </c>
      <c r="G36" s="31" t="s">
        <v>2</v>
      </c>
      <c r="H36" s="226" t="s">
        <v>56</v>
      </c>
      <c r="I36" s="31" t="s">
        <v>2</v>
      </c>
      <c r="J36" s="226" t="s">
        <v>56</v>
      </c>
      <c r="K36" s="31" t="s">
        <v>2</v>
      </c>
      <c r="L36" s="226" t="s">
        <v>56</v>
      </c>
      <c r="M36" s="31" t="s">
        <v>2</v>
      </c>
      <c r="N36" s="226" t="s">
        <v>56</v>
      </c>
      <c r="O36" s="156"/>
      <c r="P36" s="156"/>
    </row>
    <row r="37" spans="8:8" ht="21.0">
      <c r="A37" s="34" t="s">
        <v>9</v>
      </c>
      <c r="B37" s="36">
        <f t="shared" si="5" ref="B37:O37">B30</f>
        <v>799.0</v>
      </c>
      <c r="C37" s="36">
        <f t="shared" si="5"/>
        <v>798.0</v>
      </c>
      <c r="D37" s="36">
        <f t="shared" si="5"/>
        <v>799.0</v>
      </c>
      <c r="E37" s="36">
        <f t="shared" si="5"/>
        <v>798.0</v>
      </c>
      <c r="F37" s="36">
        <f t="shared" si="5"/>
        <v>799.0</v>
      </c>
      <c r="G37" s="36">
        <f t="shared" si="5"/>
        <v>798.0</v>
      </c>
      <c r="H37" s="36">
        <f t="shared" si="5"/>
        <v>799.0</v>
      </c>
      <c r="I37" s="36">
        <f t="shared" si="5"/>
        <v>798.0</v>
      </c>
      <c r="J37" s="36">
        <f t="shared" si="5"/>
        <v>799.0</v>
      </c>
      <c r="K37" s="36">
        <f t="shared" si="5"/>
        <v>798.0</v>
      </c>
      <c r="L37" s="36">
        <f t="shared" si="5"/>
        <v>799.0</v>
      </c>
      <c r="M37" s="36">
        <f t="shared" si="5"/>
        <v>798.0</v>
      </c>
      <c r="N37" s="36">
        <f t="shared" si="5"/>
        <v>799.0</v>
      </c>
      <c r="O37" s="242"/>
      <c r="P37" s="242"/>
    </row>
    <row r="38" spans="8:8" ht="15.6">
      <c r="A38" s="24" t="s">
        <v>7</v>
      </c>
      <c r="B38" s="25">
        <f>B35+'L-7 KEY MKPR- JPVE(FINAL)'!$N$10</f>
        <v>0.9039120370370338</v>
      </c>
      <c r="C38" s="25">
        <f>C35+'L-7 KEY MKPR- JPVE(FINAL)'!$N$10</f>
        <v>0.9275231481481448</v>
      </c>
      <c r="D38" s="25">
        <f>D35+'L-7 KEY MKPR- JPVE(FINAL)'!$N$10</f>
        <v>0.9511342592592559</v>
      </c>
      <c r="E38" s="25">
        <f>E35+'L-7 KEY MKPR- JPVE(FINAL)'!$N$10</f>
        <v>0.9747453703703669</v>
      </c>
      <c r="F38" s="25">
        <f>F35+'L-7 KEY MKPR- JPVE(FINAL)'!$N$10</f>
        <v>0.9983564814814778</v>
      </c>
      <c r="G38" s="25">
        <f>G35+'L-7 KEY MKPR- JPVE(FINAL)'!$N$10</f>
        <v>1.0219675925925948</v>
      </c>
      <c r="H38" s="25">
        <f>H35+'L-7 KEY MKPR- JPVE(FINAL)'!$N$10</f>
        <v>1.0455787037037048</v>
      </c>
      <c r="I38" s="25">
        <f>I35+'L-7 KEY MKPR- JPVE(FINAL)'!$N$10</f>
        <v>1.069189814814815</v>
      </c>
      <c r="J38" s="25">
        <f>J35+'L-7 KEY MKPR- JPVE(FINAL)'!$N$10</f>
        <v>1.0928009259259248</v>
      </c>
      <c r="K38" s="25">
        <f>K35+'L-7 KEY MKPR- JPVE(FINAL)'!$N$10</f>
        <v>1.116412037037035</v>
      </c>
      <c r="L38" s="25">
        <f>L35+'L-7 KEY MKPR- JPVE(FINAL)'!$N$10</f>
        <v>1.1400231481481449</v>
      </c>
      <c r="M38" s="25">
        <f>M35+'L-7 KEY MKPR- JPVE(FINAL)'!$N$10</f>
        <v>1.1636342592592548</v>
      </c>
      <c r="N38" s="26">
        <f>N35+'L-7 KEY MKPR- JPVE(FINAL)'!$N$10</f>
        <v>1.187245370370365</v>
      </c>
      <c r="O38" s="153"/>
      <c r="P38" s="153"/>
    </row>
    <row r="39" spans="8:8" ht="15.6">
      <c r="A39" s="24" t="s">
        <v>6</v>
      </c>
      <c r="B39" s="26">
        <f>B38+'L-7 KEY NEW(JPVE)'!$M5</f>
        <v>0.9085300925925895</v>
      </c>
      <c r="C39" s="26">
        <f>C38+'L-7 KEY NEW(JPVE)'!$M5</f>
        <v>0.9321412037037005</v>
      </c>
      <c r="D39" s="26">
        <f>D38+'L-7 KEY NEW(JPVE)'!$M5</f>
        <v>0.9557523148148115</v>
      </c>
      <c r="E39" s="26">
        <f>E38+'L-7 KEY NEW(JPVE)'!$M5</f>
        <v>0.9793634259259225</v>
      </c>
      <c r="F39" s="26">
        <f>F38+'L-7 KEY NEW(JPVE)'!$M5</f>
        <v>1.0029745370370335</v>
      </c>
      <c r="G39" s="26">
        <f>G38+'L-7 KEY NEW(JPVE)'!$M5</f>
        <v>1.0265856481481455</v>
      </c>
      <c r="H39" s="26">
        <f>H38+'L-7 KEY NEW(JPVE)'!$M5</f>
        <v>1.0501967592592556</v>
      </c>
      <c r="I39" s="26">
        <f>I38+'L-7 KEY NEW(JPVE)'!$M5</f>
        <v>1.0738078703703755</v>
      </c>
      <c r="J39" s="26">
        <f>J38+'L-7 KEY NEW(JPVE)'!$M5</f>
        <v>1.0974189814814754</v>
      </c>
      <c r="K39" s="26">
        <f>K38+'L-7 KEY NEW(JPVE)'!$M5</f>
        <v>1.1210300925925956</v>
      </c>
      <c r="L39" s="26">
        <f>L38+'L-7 KEY NEW(JPVE)'!$M5</f>
        <v>1.1446412037036955</v>
      </c>
      <c r="M39" s="26">
        <f>M38+'L-7 KEY NEW(JPVE)'!$M5</f>
        <v>1.1682523148148054</v>
      </c>
      <c r="N39" s="26">
        <f>N38+'L-7 KEY NEW(JPVE)'!$M5</f>
        <v>1.1918634259259255</v>
      </c>
      <c r="O39" s="153"/>
      <c r="P39" s="153"/>
      <c r="R39" s="22"/>
    </row>
    <row r="40" spans="8:8" ht="15.6">
      <c r="A40" s="24" t="s">
        <v>5</v>
      </c>
      <c r="B40" s="26">
        <f>B39+'L-7 KEY NEW(JPVE)'!$M6</f>
        <v>0.9115624999999974</v>
      </c>
      <c r="C40" s="26">
        <f>C39+'L-7 KEY NEW(JPVE)'!$M6</f>
        <v>0.9351736111111084</v>
      </c>
      <c r="D40" s="26">
        <f>D39+'L-7 KEY NEW(JPVE)'!$M6</f>
        <v>0.9587847222222194</v>
      </c>
      <c r="E40" s="26">
        <f>E39+'L-7 KEY NEW(JPVE)'!$M6</f>
        <v>0.9823958333333304</v>
      </c>
      <c r="F40" s="26">
        <f>F39+'L-7 KEY NEW(JPVE)'!$M6</f>
        <v>1.0060069444444373</v>
      </c>
      <c r="G40" s="26">
        <f>G39+'L-7 KEY NEW(JPVE)'!$M6</f>
        <v>1.0296180555555572</v>
      </c>
      <c r="H40" s="26">
        <f>H39+'L-7 KEY NEW(JPVE)'!$M6</f>
        <v>1.0532291666666673</v>
      </c>
      <c r="I40" s="26">
        <f>I39+'L-7 KEY NEW(JPVE)'!$M6</f>
        <v>1.0768402777777872</v>
      </c>
      <c r="J40" s="26">
        <f>J39+'L-7 KEY NEW(JPVE)'!$M6</f>
        <v>1.1004513888888874</v>
      </c>
      <c r="K40" s="26">
        <f>K39+'L-7 KEY NEW(JPVE)'!$M6</f>
        <v>1.1240625000000073</v>
      </c>
      <c r="L40" s="26">
        <f>L39+'L-7 KEY NEW(JPVE)'!$M6</f>
        <v>1.1476736111111072</v>
      </c>
      <c r="M40" s="26">
        <f>M39+'L-7 KEY NEW(JPVE)'!$M6</f>
        <v>1.1712847222222174</v>
      </c>
      <c r="N40" s="26">
        <f>N39+'L-7 KEY NEW(JPVE)'!$M6</f>
        <v>1.1948958333333373</v>
      </c>
      <c r="O40" s="153"/>
      <c r="P40" s="153"/>
      <c r="R40" s="22">
        <f>C49-C48</f>
        <v>0.005370370370369804</v>
      </c>
    </row>
    <row r="41" spans="8:8" ht="16.35">
      <c r="A41" s="24" t="s">
        <v>3</v>
      </c>
      <c r="B41" s="26">
        <f>B40+'L-7 KEY NEW(JPVE)'!$M7</f>
        <v>0.9134606481481451</v>
      </c>
      <c r="C41" s="26">
        <f>C40+'L-7 KEY NEW(JPVE)'!$M7</f>
        <v>0.9370717592592561</v>
      </c>
      <c r="D41" s="26">
        <f>D40+'L-7 KEY NEW(JPVE)'!$M7</f>
        <v>0.9606828703703671</v>
      </c>
      <c r="E41" s="26">
        <f>E40+'L-7 KEY NEW(JPVE)'!$M7</f>
        <v>0.9842939814814782</v>
      </c>
      <c r="F41" s="26">
        <f>F40+'L-7 KEY NEW(JPVE)'!$M7</f>
        <v>1.007905092592588</v>
      </c>
      <c r="G41" s="26">
        <f>G40+'L-7 KEY NEW(JPVE)'!$M7</f>
        <v>1.0315162037037082</v>
      </c>
      <c r="H41" s="26">
        <f>H40+'L-7 KEY NEW(JPVE)'!$M7</f>
        <v>1.0551273148148181</v>
      </c>
      <c r="I41" s="26">
        <f>I40+'L-7 KEY NEW(JPVE)'!$M7</f>
        <v>1.078738425925938</v>
      </c>
      <c r="J41" s="26">
        <f>J40+'L-7 KEY NEW(JPVE)'!$M7</f>
        <v>1.1023495370370382</v>
      </c>
      <c r="K41" s="26">
        <f>K40+'L-7 KEY NEW(JPVE)'!$M7</f>
        <v>1.125960648148158</v>
      </c>
      <c r="L41" s="26">
        <f>L40+'L-7 KEY NEW(JPVE)'!$M7</f>
        <v>1.1495717592592583</v>
      </c>
      <c r="M41" s="26">
        <f>M40+'L-7 KEY NEW(JPVE)'!$M7</f>
        <v>1.1731828703703682</v>
      </c>
      <c r="N41" s="26">
        <f>N40+'L-7 KEY NEW(JPVE)'!$M7</f>
        <v>1.196793981481488</v>
      </c>
      <c r="O41" s="153"/>
      <c r="P41" s="153"/>
      <c r="R41" s="22"/>
    </row>
    <row r="42" spans="8:8" ht="15.15">
      <c r="A42" s="105" t="s">
        <v>8</v>
      </c>
      <c r="B42" s="240" t="s">
        <v>69</v>
      </c>
      <c r="C42" s="239" t="s">
        <v>10</v>
      </c>
      <c r="D42" s="240" t="s">
        <v>69</v>
      </c>
      <c r="E42" s="239" t="s">
        <v>10</v>
      </c>
      <c r="F42" s="240" t="s">
        <v>69</v>
      </c>
      <c r="G42" s="239" t="s">
        <v>10</v>
      </c>
      <c r="H42" s="240" t="s">
        <v>69</v>
      </c>
      <c r="I42" s="239" t="s">
        <v>10</v>
      </c>
      <c r="J42" s="240" t="s">
        <v>69</v>
      </c>
      <c r="K42" s="239" t="s">
        <v>10</v>
      </c>
      <c r="L42" s="240" t="s">
        <v>69</v>
      </c>
      <c r="M42" s="239" t="s">
        <v>10</v>
      </c>
      <c r="N42" s="240" t="s">
        <v>69</v>
      </c>
      <c r="O42" s="231"/>
      <c r="P42" s="231"/>
    </row>
    <row r="43" spans="8:8" ht="15.15">
      <c r="A43" s="232"/>
      <c r="N43" s="233"/>
    </row>
    <row r="44" spans="8:8" ht="21.75">
      <c r="A44" s="8" t="s">
        <v>1</v>
      </c>
      <c r="B44" s="10">
        <f>M30</f>
        <v>798.0</v>
      </c>
      <c r="C44" s="10">
        <v>799.0</v>
      </c>
      <c r="D44" s="10">
        <v>798.0</v>
      </c>
      <c r="E44" s="10">
        <f>N30</f>
        <v>799.0</v>
      </c>
      <c r="F44" s="10">
        <f>B44</f>
        <v>798.0</v>
      </c>
      <c r="G44" s="10">
        <f>E44</f>
        <v>799.0</v>
      </c>
      <c r="H44" s="243">
        <f>F44</f>
        <v>798.0</v>
      </c>
      <c r="I44" s="54" t="s">
        <v>11</v>
      </c>
      <c r="J44" s="55"/>
      <c r="K44" s="55"/>
      <c r="L44" s="55"/>
      <c r="M44" s="244"/>
      <c r="N44" s="245" t="s">
        <v>19</v>
      </c>
      <c r="O44" s="182"/>
      <c r="P44" s="182"/>
      <c r="Q44" s="79" t="s">
        <v>19</v>
      </c>
      <c r="R44" s="79"/>
      <c r="S44" s="79"/>
      <c r="T44" s="79"/>
      <c r="U44" s="80"/>
      <c r="V44" s="185"/>
    </row>
    <row r="45" spans="8:8" ht="18.75">
      <c r="A45" s="13"/>
      <c r="B45" s="14" t="s">
        <v>54</v>
      </c>
      <c r="C45" s="224" t="s">
        <v>53</v>
      </c>
      <c r="D45" s="14" t="s">
        <v>54</v>
      </c>
      <c r="E45" s="224" t="s">
        <v>53</v>
      </c>
      <c r="F45" s="14" t="s">
        <v>54</v>
      </c>
      <c r="G45" s="224" t="s">
        <v>53</v>
      </c>
      <c r="H45" s="14" t="s">
        <v>54</v>
      </c>
      <c r="I45" s="60" t="s">
        <v>12</v>
      </c>
      <c r="J45" s="61"/>
      <c r="K45" s="61" t="s">
        <v>13</v>
      </c>
      <c r="L45" s="62" t="s">
        <v>14</v>
      </c>
      <c r="M45" s="246" t="s">
        <v>15</v>
      </c>
      <c r="N45" s="245" t="s">
        <v>59</v>
      </c>
      <c r="O45" s="247"/>
      <c r="P45" s="247"/>
      <c r="Q45" s="86" t="s">
        <v>59</v>
      </c>
      <c r="R45" s="86"/>
      <c r="S45" s="86"/>
      <c r="T45" s="86"/>
      <c r="U45" s="87"/>
      <c r="V45" s="185"/>
    </row>
    <row r="46" spans="8:8" ht="16.35">
      <c r="A46" s="18" t="s">
        <v>3</v>
      </c>
      <c r="B46" s="21">
        <f>N32+'L-7 KEY MKPR- JPVE(FINAL)'!$O$9</f>
        <v>1.196527777777771</v>
      </c>
      <c r="C46" s="21">
        <f>B46+'L-7 KEY MKPR- JPVE(FINAL)'!$O$9</f>
        <v>1.2201388888888811</v>
      </c>
      <c r="D46" s="21">
        <f>C46+'L-7 KEY MKPR- JPVE(FINAL)'!$O$9</f>
        <v>1.243749999999991</v>
      </c>
      <c r="E46" s="21">
        <v>0.805555555555556</v>
      </c>
      <c r="F46" s="45">
        <v>0.819444444444444</v>
      </c>
      <c r="G46" s="248">
        <v>0.833333333333333</v>
      </c>
      <c r="H46" s="248">
        <v>0.84375</v>
      </c>
      <c r="I46" s="64"/>
      <c r="J46" s="65"/>
      <c r="K46" s="65"/>
      <c r="L46" s="66"/>
      <c r="M46" s="249"/>
      <c r="N46" s="250"/>
      <c r="O46" s="188"/>
      <c r="P46" s="188"/>
      <c r="Q46" s="92"/>
      <c r="R46" s="92"/>
      <c r="S46" s="92"/>
      <c r="T46" s="92"/>
      <c r="U46" s="93"/>
      <c r="V46" s="185"/>
    </row>
    <row r="47" spans="8:8" ht="48.0">
      <c r="A47" s="24" t="s">
        <v>5</v>
      </c>
      <c r="B47" s="25">
        <f>B46+'L-7 KEY NEW(JPVE)'!$D5</f>
        <v>1.1988888888888811</v>
      </c>
      <c r="C47" s="25">
        <f>C46+'L-7 KEY NEW(JPVE)'!$D5</f>
        <v>1.222499999999991</v>
      </c>
      <c r="D47" s="25">
        <f>D46+'L-7 KEY NEW(JPVE)'!$D5</f>
        <v>1.246111111111101</v>
      </c>
      <c r="E47" s="25">
        <f>E46+'L-7 KEY NEW(JPVE)'!$D5</f>
        <v>0.8079166666666672</v>
      </c>
      <c r="F47" s="25">
        <f>F46+'L-7 KEY NEW(JPVE)'!$D5</f>
        <v>0.8218055555555551</v>
      </c>
      <c r="G47" s="251">
        <f>G46+'L-7 KEY NEW(JPVE)'!$D5</f>
        <v>0.8356944444444442</v>
      </c>
      <c r="H47" s="252">
        <f>H46+'L-7 KEY NEW(JPVE)'!$D5</f>
        <v>0.8461111111111111</v>
      </c>
      <c r="I47" s="64" t="s">
        <v>16</v>
      </c>
      <c r="J47" s="65"/>
      <c r="K47" s="68">
        <v>4.96</v>
      </c>
      <c r="L47" s="69">
        <v>43.0</v>
      </c>
      <c r="M47" s="253">
        <f>K47*L47</f>
        <v>213.28</v>
      </c>
      <c r="N47" s="196" t="s">
        <v>26</v>
      </c>
      <c r="O47" s="190"/>
      <c r="P47" s="190"/>
      <c r="Q47" s="191" t="s">
        <v>26</v>
      </c>
      <c r="R47" s="192"/>
      <c r="S47" s="192"/>
      <c r="T47" s="192" t="s">
        <v>27</v>
      </c>
      <c r="U47" s="193"/>
      <c r="V47" s="185"/>
    </row>
    <row r="48" spans="8:8" ht="15.6">
      <c r="A48" s="24" t="s">
        <v>6</v>
      </c>
      <c r="B48" s="25">
        <f>B47+'L-7 KEY NEW(JPVE)'!$D6</f>
        <v>1.2019212962962873</v>
      </c>
      <c r="C48" s="25">
        <f>C47+'L-7 KEY NEW(JPVE)'!$D6</f>
        <v>1.2255324074073972</v>
      </c>
      <c r="D48" s="25">
        <f>D47+'L-7 KEY NEW(JPVE)'!$D6</f>
        <v>1.2491435185185074</v>
      </c>
      <c r="E48" s="25">
        <f>E47+'L-7 KEY NEW(JPVE)'!$D6</f>
        <v>0.8109490740740743</v>
      </c>
      <c r="F48" s="25">
        <f>F47+'L-7 KEY NEW(JPVE)'!$D6</f>
        <v>0.8248379629629624</v>
      </c>
      <c r="G48" s="251">
        <f>G47+'L-7 KEY NEW(JPVE)'!$D6</f>
        <v>0.8387268518518514</v>
      </c>
      <c r="H48" s="252">
        <f>H47+'L-7 KEY NEW(JPVE)'!$D6</f>
        <v>0.8491435185185184</v>
      </c>
      <c r="I48" s="64" t="s">
        <v>17</v>
      </c>
      <c r="J48" s="65"/>
      <c r="K48" s="68">
        <v>4.96</v>
      </c>
      <c r="L48" s="69">
        <v>42.0</v>
      </c>
      <c r="M48" s="253">
        <f>K48*L48</f>
        <v>208.32</v>
      </c>
      <c r="N48" s="254" t="s">
        <v>30</v>
      </c>
      <c r="O48" s="101"/>
      <c r="P48" s="101"/>
      <c r="Q48" s="194"/>
      <c r="R48" s="195"/>
      <c r="S48" s="195"/>
      <c r="T48" s="195"/>
      <c r="U48" s="196"/>
      <c r="V48" s="185"/>
    </row>
    <row r="49" spans="8:8" ht="31.95">
      <c r="A49" s="18" t="s">
        <v>7</v>
      </c>
      <c r="B49" s="25">
        <f>B48+'L-7 KEY NEW(JPVE)'!$D7</f>
        <v>1.2072916666666604</v>
      </c>
      <c r="C49" s="25">
        <f>C48+'L-7 KEY NEW(JPVE)'!$D7</f>
        <v>1.2309027777777706</v>
      </c>
      <c r="D49" s="25">
        <f>D48+'L-7 KEY NEW(JPVE)'!$D7</f>
        <v>1.2545138888888805</v>
      </c>
      <c r="E49" s="25">
        <f>E48+'L-7 KEY NEW(JPVE)'!$D7</f>
        <v>0.8163194444444444</v>
      </c>
      <c r="F49" s="25">
        <f>F48+'L-7 KEY NEW(JPVE)'!$D7</f>
        <v>0.8302083333333323</v>
      </c>
      <c r="G49" s="255">
        <f>G48+'L-7 KEY NEW(JPVE)'!$D7</f>
        <v>0.8440972222222214</v>
      </c>
      <c r="H49" s="256">
        <f>H48+'L-7 KEY NEW(JPVE)'!$D7</f>
        <v>0.8545138888888884</v>
      </c>
      <c r="I49" s="74" t="s">
        <v>18</v>
      </c>
      <c r="J49" s="75"/>
      <c r="K49" s="75"/>
      <c r="L49" s="76">
        <f>SUM(L47:L48)</f>
        <v>85.0</v>
      </c>
      <c r="M49" s="257">
        <f>SUM(M47:M48)</f>
        <v>421.6</v>
      </c>
      <c r="N49" s="196" t="s">
        <v>27</v>
      </c>
      <c r="O49" s="197"/>
      <c r="P49" s="197"/>
      <c r="Q49" s="112" t="s">
        <v>30</v>
      </c>
      <c r="R49" s="113"/>
      <c r="S49" s="113"/>
      <c r="T49" s="198" t="s">
        <v>31</v>
      </c>
      <c r="U49" s="199"/>
      <c r="V49" s="185"/>
    </row>
    <row r="50" spans="8:8" ht="30.0" customHeight="1">
      <c r="A50" s="30" t="s">
        <v>8</v>
      </c>
      <c r="B50" s="31" t="s">
        <v>2</v>
      </c>
      <c r="C50" s="226" t="s">
        <v>56</v>
      </c>
      <c r="D50" s="31" t="s">
        <v>2</v>
      </c>
      <c r="E50" s="226" t="s">
        <v>56</v>
      </c>
      <c r="F50" s="31" t="s">
        <v>2</v>
      </c>
      <c r="G50" s="226" t="s">
        <v>56</v>
      </c>
      <c r="H50" s="258" t="s">
        <v>70</v>
      </c>
      <c r="I50" s="81" t="s">
        <v>20</v>
      </c>
      <c r="J50" s="82"/>
      <c r="K50" s="82"/>
      <c r="L50" s="82"/>
      <c r="M50" s="259"/>
      <c r="N50" s="260" t="s">
        <v>31</v>
      </c>
      <c r="O50" s="200"/>
      <c r="P50" s="200"/>
      <c r="Q50" s="185"/>
      <c r="R50" s="185"/>
      <c r="S50" s="185"/>
      <c r="T50" s="185"/>
      <c r="U50" s="185"/>
      <c r="V50" s="185"/>
    </row>
    <row r="51" spans="8:8" ht="21.75">
      <c r="A51" s="34" t="s">
        <v>9</v>
      </c>
      <c r="B51" s="36">
        <f t="shared" si="6" ref="B51:G51">B44</f>
        <v>798.0</v>
      </c>
      <c r="C51" s="36">
        <f t="shared" si="6"/>
        <v>799.0</v>
      </c>
      <c r="D51" s="36">
        <f t="shared" si="6"/>
        <v>798.0</v>
      </c>
      <c r="E51" s="36">
        <f t="shared" si="6"/>
        <v>799.0</v>
      </c>
      <c r="F51" s="36">
        <f t="shared" si="6"/>
        <v>798.0</v>
      </c>
      <c r="G51" s="36"/>
      <c r="H51" s="261"/>
      <c r="I51" s="175" t="s">
        <v>23</v>
      </c>
      <c r="J51" s="175" t="s">
        <v>61</v>
      </c>
      <c r="K51" s="175" t="s">
        <v>24</v>
      </c>
      <c r="L51" s="175"/>
      <c r="M51" s="175" t="s">
        <v>25</v>
      </c>
      <c r="N51" s="262"/>
      <c r="O51" s="185"/>
      <c r="P51" s="185"/>
      <c r="Q51" s="185"/>
      <c r="R51" s="185"/>
      <c r="S51" s="185"/>
      <c r="T51" s="185"/>
      <c r="U51" s="185"/>
      <c r="V51" s="185"/>
    </row>
    <row r="52" spans="8:8" ht="15.6">
      <c r="A52" s="24" t="s">
        <v>7</v>
      </c>
      <c r="B52" s="25">
        <f>B49+'L-7 KEY MKPR- JPVE(FINAL)'!$N$10</f>
        <v>1.2108564814814748</v>
      </c>
      <c r="C52" s="25">
        <f>C49+'L-7 KEY MKPR- JPVE(FINAL)'!$N$10</f>
        <v>1.2344675925925848</v>
      </c>
      <c r="D52" s="25">
        <f>D49+'L-7 KEY MKPR- JPVE(FINAL)'!$N$10</f>
        <v>1.258078703703695</v>
      </c>
      <c r="E52" s="25">
        <v>0.819791666666667</v>
      </c>
      <c r="F52" s="38">
        <v>0.833333333333333</v>
      </c>
      <c r="G52" s="38">
        <v>0.845138888888889</v>
      </c>
      <c r="H52" s="263"/>
      <c r="I52" s="95" t="s">
        <v>69</v>
      </c>
      <c r="J52" s="95" t="s">
        <v>56</v>
      </c>
      <c r="K52" s="21">
        <v>0.333333333333333</v>
      </c>
      <c r="L52" s="21"/>
      <c r="M52" s="22">
        <v>0.833333333333333</v>
      </c>
      <c r="N52" s="262"/>
      <c r="O52" s="185"/>
      <c r="P52" s="185"/>
      <c r="Q52" s="185"/>
      <c r="R52" s="176"/>
      <c r="S52" s="176"/>
      <c r="T52" s="185"/>
      <c r="U52" s="185"/>
      <c r="V52" s="185"/>
    </row>
    <row r="53" spans="8:8" ht="15.6">
      <c r="A53" s="24" t="s">
        <v>6</v>
      </c>
      <c r="B53" s="26">
        <f>B52+'L-7 KEY NEW(JPVE)'!$M5</f>
        <v>1.2154745370370255</v>
      </c>
      <c r="C53" s="26">
        <f>C52+'L-7 KEY NEW(JPVE)'!$M5</f>
        <v>1.2390856481481356</v>
      </c>
      <c r="D53" s="26">
        <f>D52+'L-7 KEY NEW(JPVE)'!$M5</f>
        <v>1.2626967592592555</v>
      </c>
      <c r="E53" s="26">
        <f>E52+'L-7 KEY NEW(JPVE)'!$M5</f>
        <v>0.8244097222222225</v>
      </c>
      <c r="F53" s="26">
        <f>F52+'L-7 KEY NEW(JPVE)'!$M5</f>
        <v>0.8379513888888885</v>
      </c>
      <c r="G53" s="264">
        <f>G52+'L-7 KEY NEW(JPVE)'!$M5</f>
        <v>0.8497569444444445</v>
      </c>
      <c r="H53" s="265"/>
      <c r="I53" s="95" t="s">
        <v>2</v>
      </c>
      <c r="J53" s="95" t="s">
        <v>10</v>
      </c>
      <c r="K53" s="21">
        <v>0.333333333333333</v>
      </c>
      <c r="L53" s="21"/>
      <c r="M53" s="22">
        <v>0.833333333333333</v>
      </c>
      <c r="N53" s="262"/>
      <c r="O53" s="185"/>
      <c r="P53" s="185"/>
      <c r="Q53" s="185"/>
      <c r="R53" s="176">
        <v>799.0</v>
      </c>
      <c r="S53" s="204" t="s">
        <v>54</v>
      </c>
      <c r="T53" s="185"/>
      <c r="U53" s="185"/>
      <c r="V53" s="185"/>
    </row>
    <row r="54" spans="8:8" ht="16.35">
      <c r="A54" s="24" t="s">
        <v>5</v>
      </c>
      <c r="B54" s="26">
        <f>B53+'L-7 KEY NEW(JPVE)'!$M6</f>
        <v>1.2185069444444372</v>
      </c>
      <c r="C54" s="26">
        <f>C53+'L-7 KEY NEW(JPVE)'!$M6</f>
        <v>1.2421180555555473</v>
      </c>
      <c r="D54" s="26">
        <f>D53+'L-7 KEY NEW(JPVE)'!$M6</f>
        <v>1.2657291666666672</v>
      </c>
      <c r="E54" s="26">
        <f>E53+'L-7 KEY NEW(JPVE)'!$M6</f>
        <v>0.8274421296296304</v>
      </c>
      <c r="F54" s="26">
        <f>F53+'L-7 KEY NEW(JPVE)'!$M6</f>
        <v>0.8409837962962964</v>
      </c>
      <c r="G54" s="264">
        <f>G53+'L-7 KEY NEW(JPVE)'!$M6</f>
        <v>0.8527893518518525</v>
      </c>
      <c r="H54" s="261"/>
      <c r="I54" s="95" t="s">
        <v>28</v>
      </c>
      <c r="J54" s="95" t="s">
        <v>10</v>
      </c>
      <c r="K54" s="21">
        <v>0.25</v>
      </c>
      <c r="L54" s="21"/>
      <c r="M54" s="22">
        <v>0.761805555555556</v>
      </c>
      <c r="N54" s="262"/>
      <c r="O54" s="185"/>
      <c r="P54" s="185"/>
      <c r="Q54" s="185"/>
      <c r="R54" s="176">
        <v>798.0</v>
      </c>
      <c r="S54" s="205" t="s">
        <v>53</v>
      </c>
      <c r="T54" s="185"/>
      <c r="U54" s="185"/>
      <c r="V54" s="185"/>
    </row>
    <row r="55" spans="8:8" ht="16.35">
      <c r="A55" s="24" t="s">
        <v>3</v>
      </c>
      <c r="B55" s="26">
        <f>B54+'L-7 KEY NEW(JPVE)'!$M7</f>
        <v>1.2204050925925882</v>
      </c>
      <c r="C55" s="26">
        <f>C54+'L-7 KEY NEW(JPVE)'!$M7</f>
        <v>1.2440162037036981</v>
      </c>
      <c r="D55" s="26">
        <f>D54+'L-7 KEY NEW(JPVE)'!$M7</f>
        <v>1.267627314814818</v>
      </c>
      <c r="E55" s="26">
        <f>E54+'L-7 KEY NEW(JPVE)'!$M7</f>
        <v>0.8293402777777782</v>
      </c>
      <c r="F55" s="26">
        <f>F54+'L-7 KEY NEW(JPVE)'!$M7</f>
        <v>0.8428819444444442</v>
      </c>
      <c r="G55" s="264">
        <f>G54+'L-7 KEY NEW(JPVE)'!$M7</f>
        <v>0.8546875000000012</v>
      </c>
      <c r="I55" s="95" t="s">
        <v>32</v>
      </c>
      <c r="J55" s="95" t="s">
        <v>10</v>
      </c>
      <c r="K55" s="109">
        <v>0.25</v>
      </c>
      <c r="L55" s="109"/>
      <c r="M55" s="114">
        <v>0.75625</v>
      </c>
      <c r="N55" s="262"/>
      <c r="O55" s="185"/>
      <c r="P55" s="185"/>
      <c r="Q55" s="185"/>
      <c r="R55" s="176"/>
      <c r="S55" s="176"/>
      <c r="T55" s="185"/>
      <c r="U55" s="185"/>
      <c r="V55" s="185"/>
    </row>
    <row r="56" spans="8:8" ht="15.15">
      <c r="A56" s="105" t="s">
        <v>8</v>
      </c>
      <c r="B56" s="239" t="s">
        <v>10</v>
      </c>
      <c r="C56" s="240" t="s">
        <v>69</v>
      </c>
      <c r="D56" s="239" t="s">
        <v>10</v>
      </c>
      <c r="E56" s="240" t="s">
        <v>69</v>
      </c>
      <c r="F56" s="239" t="s">
        <v>10</v>
      </c>
      <c r="G56" s="258" t="s">
        <v>71</v>
      </c>
      <c r="H56" s="266"/>
      <c r="I56" s="267"/>
      <c r="J56" s="267"/>
      <c r="K56" s="267"/>
      <c r="L56" s="267"/>
      <c r="M56" s="267"/>
      <c r="N56" s="268"/>
      <c r="O56" s="160"/>
      <c r="P56" s="160"/>
    </row>
  </sheetData>
  <mergeCells count="20">
    <mergeCell ref="A1:N1"/>
    <mergeCell ref="B4:B7"/>
    <mergeCell ref="C4:C7"/>
    <mergeCell ref="Q44:U44"/>
    <mergeCell ref="K52:L52"/>
    <mergeCell ref="I49:K49"/>
    <mergeCell ref="K55:L55"/>
    <mergeCell ref="Q45:U45"/>
    <mergeCell ref="I44:M44"/>
    <mergeCell ref="K54:L54"/>
    <mergeCell ref="Q46:U46"/>
    <mergeCell ref="I45:J46"/>
    <mergeCell ref="K53:L53"/>
    <mergeCell ref="M45:M46"/>
    <mergeCell ref="L45:L46"/>
    <mergeCell ref="I48:J48"/>
    <mergeCell ref="K51:L51"/>
    <mergeCell ref="I47:J47"/>
    <mergeCell ref="I50:M50"/>
    <mergeCell ref="K45:K46"/>
  </mergeCells>
  <conditionalFormatting sqref="C28 E28 G28 I28 K28">
    <cfRule type="containsText" text="MKPD" operator="containsText" priority="83" dxfId="49">
      <formula>NOT(ISERROR(SEARCH("MKPD",C28)))</formula>
    </cfRule>
    <cfRule type="containsText" text="VND" operator="containsText" priority="82" dxfId="50">
      <formula>NOT(ISERROR(SEARCH("VND",C28)))</formula>
    </cfRule>
    <cfRule type="containsText" text="MKPR 3RD" operator="containsText" priority="84" dxfId="51">
      <formula>NOT(ISERROR(SEARCH("MKPR 3RD",C28)))</formula>
    </cfRule>
  </conditionalFormatting>
  <conditionalFormatting sqref="B50 F50 D50">
    <cfRule type="containsText" text="MKPR 3RD" operator="containsText" priority="51" dxfId="52">
      <formula>NOT(ISERROR(SEARCH("MKPR 3RD",B50)))</formula>
    </cfRule>
    <cfRule type="containsText" text="VND" operator="containsText" priority="49" dxfId="53">
      <formula>NOT(ISERROR(SEARCH("VND",B50)))</formula>
    </cfRule>
    <cfRule type="containsText" text="MKPD" operator="containsText" priority="50" dxfId="54">
      <formula>NOT(ISERROR(SEARCH("MKPD",B50)))</formula>
    </cfRule>
  </conditionalFormatting>
  <conditionalFormatting sqref="M36">
    <cfRule type="containsText" text="VND" operator="containsText" priority="67" dxfId="55">
      <formula>NOT(ISERROR(SEARCH("VND",M36)))</formula>
    </cfRule>
    <cfRule type="containsText" text="MKPD" operator="containsText" priority="68" dxfId="56">
      <formula>NOT(ISERROR(SEARCH("MKPD",M36)))</formula>
    </cfRule>
    <cfRule type="containsText" text="MKPR 3RD" operator="containsText" priority="69" dxfId="57">
      <formula>NOT(ISERROR(SEARCH("MKPR 3RD",M36)))</formula>
    </cfRule>
  </conditionalFormatting>
  <conditionalFormatting sqref="B14 D14:P14">
    <cfRule type="containsText" text="VND" operator="containsText" priority="632" dxfId="58">
      <formula>NOT(ISERROR(SEARCH("VND",B14)))</formula>
    </cfRule>
    <cfRule type="containsText" text="MKPR 3RD" operator="containsText" priority="634" dxfId="59">
      <formula>NOT(ISERROR(SEARCH("MKPR 3RD",B14)))</formula>
    </cfRule>
    <cfRule type="containsText" text="MKPD" operator="containsText" priority="633" dxfId="60">
      <formula>NOT(ISERROR(SEARCH("MKPD",B14)))</formula>
    </cfRule>
  </conditionalFormatting>
  <conditionalFormatting sqref="B56:D56">
    <cfRule type="containsText" text="MKPD" operator="containsText" priority="47" dxfId="61">
      <formula>NOT(ISERROR(SEARCH("MKPD",B56)))</formula>
    </cfRule>
    <cfRule type="containsText" text="MKPR 3RD" operator="containsText" priority="48" dxfId="62">
      <formula>NOT(ISERROR(SEARCH("MKPR 3RD",B56)))</formula>
    </cfRule>
    <cfRule type="containsText" text="VND" operator="containsText" priority="46" dxfId="63">
      <formula>NOT(ISERROR(SEARCH("VND",B56)))</formula>
    </cfRule>
  </conditionalFormatting>
  <conditionalFormatting sqref="B42 D42 F42 H42 J42 L42">
    <cfRule type="containsText" text="MKPR 3RD" operator="containsText" priority="148" dxfId="64">
      <formula>NOT(ISERROR(SEARCH("MKPR 3RD",B42)))</formula>
    </cfRule>
    <cfRule type="containsText" text="MKPD" operator="containsText" priority="147" dxfId="65">
      <formula>NOT(ISERROR(SEARCH("MKPD",B42)))</formula>
    </cfRule>
    <cfRule type="containsText" text="VND" operator="containsText" priority="146" dxfId="66">
      <formula>NOT(ISERROR(SEARCH("VND",B42)))</formula>
    </cfRule>
  </conditionalFormatting>
  <conditionalFormatting sqref="C22 E22 G22 I22 K22 M22">
    <cfRule type="containsText" text="MKPR 3RD" operator="containsText" priority="114" dxfId="67">
      <formula>NOT(ISERROR(SEARCH("MKPR 3RD",C22)))</formula>
    </cfRule>
    <cfRule type="containsText" text="VND" operator="containsText" priority="112" dxfId="68">
      <formula>NOT(ISERROR(SEARCH("VND",C22)))</formula>
    </cfRule>
    <cfRule type="containsText" text="MKPD" operator="containsText" priority="113" dxfId="69">
      <formula>NOT(ISERROR(SEARCH("MKPD",C22)))</formula>
    </cfRule>
  </conditionalFormatting>
  <conditionalFormatting sqref="N42:P42">
    <cfRule type="containsText" text="VND" operator="containsText" priority="58" dxfId="70">
      <formula>NOT(ISERROR(SEARCH("VND",N42)))</formula>
    </cfRule>
    <cfRule type="containsText" text="MKPD" operator="containsText" priority="62" dxfId="71">
      <formula>NOT(ISERROR(SEARCH("MKPD",N42)))</formula>
    </cfRule>
    <cfRule type="containsText" text="MKPD" operator="containsText" priority="59" dxfId="72">
      <formula>NOT(ISERROR(SEARCH("MKPD",N42)))</formula>
    </cfRule>
    <cfRule type="containsText" text="MKPR 3RD" operator="containsText" priority="63" dxfId="73">
      <formula>NOT(ISERROR(SEARCH("MKPR 3RD",N42)))</formula>
    </cfRule>
    <cfRule type="containsText" text="VND" operator="containsText" priority="61" dxfId="74">
      <formula>NOT(ISERROR(SEARCH("VND",N42)))</formula>
    </cfRule>
    <cfRule type="containsText" text="MKPR 3RD" operator="containsText" priority="60" dxfId="75">
      <formula>NOT(ISERROR(SEARCH("MKPR 3RD",N42)))</formula>
    </cfRule>
  </conditionalFormatting>
  <conditionalFormatting sqref="G56">
    <cfRule type="containsText" text="VND" operator="containsText" priority="10" dxfId="76">
      <formula>NOT(ISERROR(SEARCH("VND",G56)))</formula>
    </cfRule>
    <cfRule type="containsText" text="MKPD" operator="containsText" priority="11" dxfId="77">
      <formula>NOT(ISERROR(SEARCH("MKPD",G56)))</formula>
    </cfRule>
    <cfRule type="containsText" text="MKPR 3RD" operator="containsText" priority="12" dxfId="78">
      <formula>NOT(ISERROR(SEARCH("MKPR 3RD",G56)))</formula>
    </cfRule>
  </conditionalFormatting>
  <conditionalFormatting sqref="E56">
    <cfRule type="containsText" text="MKPD" operator="containsText" priority="8" dxfId="79">
      <formula>NOT(ISERROR(SEARCH("MKPD",E56)))</formula>
    </cfRule>
    <cfRule type="containsText" text="VND" operator="containsText" priority="7" dxfId="80">
      <formula>NOT(ISERROR(SEARCH("VND",E56)))</formula>
    </cfRule>
    <cfRule type="containsText" text="MKPD" operator="containsText" priority="5" dxfId="81">
      <formula>NOT(ISERROR(SEARCH("MKPD",E56)))</formula>
    </cfRule>
    <cfRule type="containsText" text="MKPR 3RD" operator="containsText" priority="6" dxfId="82">
      <formula>NOT(ISERROR(SEARCH("MKPR 3RD",E56)))</formula>
    </cfRule>
    <cfRule type="containsText" text="VND" operator="containsText" priority="4" dxfId="83">
      <formula>NOT(ISERROR(SEARCH("VND",E56)))</formula>
    </cfRule>
    <cfRule type="containsText" text="MKPR 3RD" operator="containsText" priority="9" dxfId="84">
      <formula>NOT(ISERROR(SEARCH("MKPR 3RD",E56)))</formula>
    </cfRule>
  </conditionalFormatting>
  <conditionalFormatting sqref="F56">
    <cfRule type="containsText" text="MKPR 3RD" operator="containsText" priority="3" dxfId="85">
      <formula>NOT(ISERROR(SEARCH("MKPR 3RD",F56)))</formula>
    </cfRule>
    <cfRule type="containsText" text="VND" operator="containsText" priority="1" dxfId="86">
      <formula>NOT(ISERROR(SEARCH("VND",F56)))</formula>
    </cfRule>
    <cfRule type="containsText" text="MKPD" operator="containsText" priority="2" dxfId="87">
      <formula>NOT(ISERROR(SEARCH("MKPD",F56)))</formula>
    </cfRule>
  </conditionalFormatting>
  <conditionalFormatting sqref="C36 K36 I36 G36 E36">
    <cfRule type="containsText" text="VND" operator="containsText" priority="70" dxfId="88">
      <formula>NOT(ISERROR(SEARCH("VND",C36)))</formula>
    </cfRule>
    <cfRule type="containsText" text="MKPD" operator="containsText" priority="71" dxfId="89">
      <formula>NOT(ISERROR(SEARCH("MKPD",C36)))</formula>
    </cfRule>
    <cfRule type="containsText" text="MKPR 3RD" operator="containsText" priority="72" dxfId="90">
      <formula>NOT(ISERROR(SEARCH("MKPR 3RD",C36)))</formula>
    </cfRule>
  </conditionalFormatting>
  <conditionalFormatting sqref="C8 E8 G8 I8 K8 M8">
    <cfRule type="containsText" text="MKPD" operator="containsText" priority="116" dxfId="91">
      <formula>NOT(ISERROR(SEARCH("MKPD",C8)))</formula>
    </cfRule>
    <cfRule type="containsText" text="VND" operator="containsText" priority="115" dxfId="92">
      <formula>NOT(ISERROR(SEARCH("VND",C8)))</formula>
    </cfRule>
    <cfRule type="containsText" text="MKPR 3RD" operator="containsText" priority="117" dxfId="93">
      <formula>NOT(ISERROR(SEARCH("MKPR 3RD",C8)))</formula>
    </cfRule>
  </conditionalFormatting>
  <conditionalFormatting sqref="H9">
    <cfRule type="cellIs" operator="equal" priority="320" dxfId="94">
      <formula>$A$2</formula>
    </cfRule>
  </conditionalFormatting>
  <conditionalFormatting sqref="C14">
    <cfRule type="containsText" text="VND" operator="containsText" priority="97" dxfId="95">
      <formula>NOT(ISERROR(SEARCH("VND",C14)))</formula>
    </cfRule>
    <cfRule type="containsText" text="MKPD" operator="containsText" priority="98" dxfId="96">
      <formula>NOT(ISERROR(SEARCH("MKPD",C14)))</formula>
    </cfRule>
  </conditionalFormatting>
  <conditionalFormatting sqref="C50 E50">
    <cfRule type="containsText" text="VND" operator="containsText" priority="52" dxfId="97">
      <formula>NOT(ISERROR(SEARCH("VND",C50)))</formula>
    </cfRule>
    <cfRule type="containsText" text="MKPR 3RD" operator="containsText" priority="54" dxfId="98">
      <formula>NOT(ISERROR(SEARCH("MKPR 3RD",C50)))</formula>
    </cfRule>
    <cfRule type="containsText" text="MKPD" operator="containsText" priority="53" dxfId="99">
      <formula>NOT(ISERROR(SEARCH("MKPD",C50)))</formula>
    </cfRule>
  </conditionalFormatting>
  <conditionalFormatting sqref="A8 A14">
    <cfRule type="containsText" text="MUPR DN" operator="containsText" priority="636" dxfId="100">
      <formula>NOT(ISERROR(SEARCH("MUPR DN",A8)))</formula>
    </cfRule>
    <cfRule type="containsText" text="SVVR DN" operator="containsText" priority="637" dxfId="101">
      <formula>NOT(ISERROR(SEARCH("SVVR DN",A8)))</formula>
    </cfRule>
    <cfRule type="containsText" text="NIZM UP" operator="containsText" priority="635" dxfId="102">
      <formula>NOT(ISERROR(SEARCH("NIZM UP",A8)))</formula>
    </cfRule>
  </conditionalFormatting>
  <conditionalFormatting sqref="D23">
    <cfRule type="cellIs" operator="equal" priority="304" dxfId="103">
      <formula>$A$2</formula>
    </cfRule>
  </conditionalFormatting>
  <conditionalFormatting sqref="G50">
    <cfRule type="containsText" text="VND" operator="containsText" priority="13" dxfId="104">
      <formula>NOT(ISERROR(SEARCH("VND",G50)))</formula>
    </cfRule>
    <cfRule type="containsText" text="MKPR 3RD" operator="containsText" priority="15" dxfId="105">
      <formula>NOT(ISERROR(SEARCH("MKPR 3RD",G50)))</formula>
    </cfRule>
    <cfRule type="containsText" text="MKPD" operator="containsText" priority="14" dxfId="106">
      <formula>NOT(ISERROR(SEARCH("MKPD",G50)))</formula>
    </cfRule>
  </conditionalFormatting>
  <conditionalFormatting sqref="A22 A28">
    <cfRule type="containsText" text="MUPR DN" operator="containsText" priority="299" dxfId="107">
      <formula>NOT(ISERROR(SEARCH("MUPR DN",A22)))</formula>
    </cfRule>
    <cfRule type="containsText" text="NIZM UP" operator="containsText" priority="298" dxfId="108">
      <formula>NOT(ISERROR(SEARCH("NIZM UP",A22)))</formula>
    </cfRule>
    <cfRule type="containsText" text="SVVR DN" operator="containsText" priority="300" dxfId="109">
      <formula>NOT(ISERROR(SEARCH("SVVR DN",A22)))</formula>
    </cfRule>
  </conditionalFormatting>
  <conditionalFormatting sqref="B16:P16">
    <cfRule type="cellIs" operator="equal" priority="305" dxfId="110">
      <formula>$A$2</formula>
    </cfRule>
  </conditionalFormatting>
  <conditionalFormatting sqref="N36:P36">
    <cfRule type="containsText" text="MKPR 3RD" operator="containsText" priority="66" dxfId="111">
      <formula>NOT(ISERROR(SEARCH("MKPR 3RD",N36)))</formula>
    </cfRule>
    <cfRule type="containsText" text="MKPD" operator="containsText" priority="65" dxfId="112">
      <formula>NOT(ISERROR(SEARCH("MKPD",N36)))</formula>
    </cfRule>
    <cfRule type="containsText" text="VND" operator="containsText" priority="64" dxfId="113">
      <formula>NOT(ISERROR(SEARCH("VND",N36)))</formula>
    </cfRule>
  </conditionalFormatting>
  <conditionalFormatting sqref="C28:M28">
    <cfRule type="containsText" text="VND" operator="containsText" priority="88" dxfId="114">
      <formula>NOT(ISERROR(SEARCH("VND",C28)))</formula>
    </cfRule>
    <cfRule type="containsText" text="MKPR 3RD" operator="containsText" priority="90" dxfId="115">
      <formula>NOT(ISERROR(SEARCH("MKPR 3RD",C28)))</formula>
    </cfRule>
    <cfRule type="containsText" text="MKPD" operator="containsText" priority="89" dxfId="116">
      <formula>NOT(ISERROR(SEARCH("MKPD",C28)))</formula>
    </cfRule>
  </conditionalFormatting>
  <conditionalFormatting sqref="B8 D8 F8 H8 J8 L8 N8:P8">
    <cfRule type="containsText" text="MKPD" operator="containsText" priority="119" dxfId="117">
      <formula>NOT(ISERROR(SEARCH("MKPD",B8)))</formula>
    </cfRule>
    <cfRule type="containsText" text="VND" operator="containsText" priority="118" dxfId="118">
      <formula>NOT(ISERROR(SEARCH("VND",B8)))</formula>
    </cfRule>
    <cfRule type="containsText" text="MKPR 3RD" operator="containsText" priority="120" dxfId="119">
      <formula>NOT(ISERROR(SEARCH("MKPR 3RD",B8)))</formula>
    </cfRule>
  </conditionalFormatting>
  <conditionalFormatting sqref="A36 A42">
    <cfRule type="containsText" text="SVVR DN" operator="containsText" priority="212" dxfId="120">
      <formula>NOT(ISERROR(SEARCH("SVVR DN",A36)))</formula>
    </cfRule>
    <cfRule type="containsText" text="NIZM UP" operator="containsText" priority="210" dxfId="121">
      <formula>NOT(ISERROR(SEARCH("NIZM UP",A36)))</formula>
    </cfRule>
    <cfRule type="containsText" text="MUPR DN" operator="containsText" priority="211" dxfId="122">
      <formula>NOT(ISERROR(SEARCH("MUPR DN",A36)))</formula>
    </cfRule>
  </conditionalFormatting>
  <conditionalFormatting sqref="C2 C9 E2 G2 I2 K2 M2">
    <cfRule type="cellIs" operator="equal" priority="618" dxfId="123">
      <formula>$A$2</formula>
    </cfRule>
  </conditionalFormatting>
  <conditionalFormatting sqref="B22 D22 F22 H22 J22 L22">
    <cfRule type="containsText" text="MKPR 3RD" operator="containsText" priority="111" dxfId="124">
      <formula>NOT(ISERROR(SEARCH("MKPR 3RD",B22)))</formula>
    </cfRule>
    <cfRule type="containsText" text="VND" operator="containsText" priority="109" dxfId="125">
      <formula>NOT(ISERROR(SEARCH("VND",B22)))</formula>
    </cfRule>
    <cfRule type="containsText" text="MKPD" operator="containsText" priority="110" dxfId="126">
      <formula>NOT(ISERROR(SEARCH("MKPD",B22)))</formula>
    </cfRule>
  </conditionalFormatting>
  <conditionalFormatting sqref="B36 L36 J36 H36 F36 D36">
    <cfRule type="containsText" text="MKPD" operator="containsText" priority="74" dxfId="127">
      <formula>NOT(ISERROR(SEARCH("MKPD",B36)))</formula>
    </cfRule>
    <cfRule type="containsText" text="MKPR 3RD" operator="containsText" priority="75" dxfId="128">
      <formula>NOT(ISERROR(SEARCH("MKPR 3RD",B36)))</formula>
    </cfRule>
    <cfRule type="containsText" text="VND" operator="containsText" priority="73" dxfId="129">
      <formula>NOT(ISERROR(SEARCH("VND",B36)))</formula>
    </cfRule>
  </conditionalFormatting>
  <conditionalFormatting sqref="A50 A56">
    <cfRule type="containsText" text="SVVR DN" operator="containsText" priority="184" dxfId="130">
      <formula>NOT(ISERROR(SEARCH("SVVR DN",A50)))</formula>
    </cfRule>
    <cfRule type="containsText" text="MUPR DN" operator="containsText" priority="183" dxfId="131">
      <formula>NOT(ISERROR(SEARCH("MUPR DN",A50)))</formula>
    </cfRule>
    <cfRule type="containsText" text="NIZM UP" operator="containsText" priority="182" dxfId="132">
      <formula>NOT(ISERROR(SEARCH("NIZM UP",A50)))</formula>
    </cfRule>
  </conditionalFormatting>
  <conditionalFormatting sqref="M42">
    <cfRule type="containsText" text="MKPR 3RD" operator="containsText" priority="57" dxfId="133">
      <formula>NOT(ISERROR(SEARCH("MKPR 3RD",M42)))</formula>
    </cfRule>
    <cfRule type="containsText" text="VND" operator="containsText" priority="55" dxfId="134">
      <formula>NOT(ISERROR(SEARCH("VND",M42)))</formula>
    </cfRule>
    <cfRule type="containsText" text="MKPD" operator="containsText" priority="56" dxfId="135">
      <formula>NOT(ISERROR(SEARCH("MKPD",M42)))</formula>
    </cfRule>
  </conditionalFormatting>
  <conditionalFormatting sqref="M28">
    <cfRule type="containsText" text="MKPR 3RD" operator="containsText" priority="81" dxfId="136">
      <formula>NOT(ISERROR(SEARCH("MKPR 3RD",M28)))</formula>
    </cfRule>
    <cfRule type="containsText" text="VND" operator="containsText" priority="79" dxfId="137">
      <formula>NOT(ISERROR(SEARCH("VND",M28)))</formula>
    </cfRule>
    <cfRule type="containsText" text="MKPD" operator="containsText" priority="80" dxfId="138">
      <formula>NOT(ISERROR(SEARCH("MKPD",M28)))</formula>
    </cfRule>
  </conditionalFormatting>
  <conditionalFormatting sqref="C14 E14">
    <cfRule type="containsText" text="MKPR 3RD" operator="containsText" priority="99" dxfId="139">
      <formula>NOT(ISERROR(SEARCH("MKPR 3RD",C14)))</formula>
    </cfRule>
  </conditionalFormatting>
  <conditionalFormatting sqref="N22:P22">
    <cfRule type="containsText" text="MKPR 3RD" operator="containsText" priority="108" dxfId="140">
      <formula>NOT(ISERROR(SEARCH("MKPR 3RD",N22)))</formula>
    </cfRule>
    <cfRule type="containsText" text="MKPD" operator="containsText" priority="107" dxfId="141">
      <formula>NOT(ISERROR(SEARCH("MKPD",N22)))</formula>
    </cfRule>
    <cfRule type="containsText" text="VND" operator="containsText" priority="106" dxfId="142">
      <formula>NOT(ISERROR(SEARCH("VND",N22)))</formula>
    </cfRule>
  </conditionalFormatting>
  <conditionalFormatting sqref="H50">
    <cfRule type="containsText" text="VND" operator="containsText" priority="16" dxfId="143">
      <formula>NOT(ISERROR(SEARCH("VND",H50)))</formula>
    </cfRule>
    <cfRule type="containsText" text="MKPD" operator="containsText" priority="17" dxfId="144">
      <formula>NOT(ISERROR(SEARCH("MKPD",H50)))</formula>
    </cfRule>
    <cfRule type="containsText" text="MKPR 3RD" operator="containsText" priority="18" dxfId="145">
      <formula>NOT(ISERROR(SEARCH("MKPR 3RD",H50)))</formula>
    </cfRule>
  </conditionalFormatting>
  <conditionalFormatting sqref="B28 D28">
    <cfRule type="containsText" text="MKPR 3RD" operator="containsText" priority="87" dxfId="146">
      <formula>NOT(ISERROR(SEARCH("MKPR 3RD",B28)))</formula>
    </cfRule>
  </conditionalFormatting>
  <conditionalFormatting sqref="C56">
    <cfRule type="containsText" text="VND" operator="containsText" priority="43" dxfId="147">
      <formula>NOT(ISERROR(SEARCH("VND",C56)))</formula>
    </cfRule>
    <cfRule type="containsText" text="MKPD" operator="containsText" priority="44" dxfId="148">
      <formula>NOT(ISERROR(SEARCH("MKPD",C56)))</formula>
    </cfRule>
    <cfRule type="containsText" text="MKPR 3RD" operator="containsText" priority="45" dxfId="149">
      <formula>NOT(ISERROR(SEARCH("MKPR 3RD",C56)))</formula>
    </cfRule>
  </conditionalFormatting>
  <conditionalFormatting sqref="N28:P28">
    <cfRule type="containsText" text="MKPD" operator="containsText" priority="77" dxfId="150">
      <formula>NOT(ISERROR(SEARCH("MKPD",N28)))</formula>
    </cfRule>
    <cfRule type="containsText" text="VND" operator="containsText" priority="76" dxfId="151">
      <formula>NOT(ISERROR(SEARCH("VND",N28)))</formula>
    </cfRule>
    <cfRule type="containsText" text="MKPR 3RD" operator="containsText" priority="78" dxfId="152">
      <formula>NOT(ISERROR(SEARCH("MKPR 3RD",N28)))</formula>
    </cfRule>
  </conditionalFormatting>
  <conditionalFormatting sqref="D14 F14 H14 J14 L14">
    <cfRule type="containsText" text="MKPR 3RD" operator="containsText" priority="96" dxfId="153">
      <formula>NOT(ISERROR(SEARCH("MKPR 3RD",D14)))</formula>
    </cfRule>
    <cfRule type="containsText" text="VND" operator="containsText" priority="94" dxfId="154">
      <formula>NOT(ISERROR(SEARCH("VND",D14)))</formula>
    </cfRule>
    <cfRule type="containsText" text="MKPD" operator="containsText" priority="95" dxfId="155">
      <formula>NOT(ISERROR(SEARCH("MKPD",D14)))</formula>
    </cfRule>
  </conditionalFormatting>
  <conditionalFormatting sqref="C42 E42:L42">
    <cfRule type="containsText" text="MKPR 3RD" operator="containsText" priority="151" dxfId="156">
      <formula>NOT(ISERROR(SEARCH("MKPR 3RD",C42)))</formula>
    </cfRule>
    <cfRule type="containsText" text="VND" operator="containsText" priority="149" dxfId="157">
      <formula>NOT(ISERROR(SEARCH("VND",C42)))</formula>
    </cfRule>
    <cfRule type="containsText" text="MKPD" operator="containsText" priority="150" dxfId="158">
      <formula>NOT(ISERROR(SEARCH("MKPD",C42)))</formula>
    </cfRule>
  </conditionalFormatting>
  <conditionalFormatting sqref="E9">
    <cfRule type="cellIs" operator="equal" priority="610" dxfId="159">
      <formula>$A$2</formula>
    </cfRule>
  </conditionalFormatting>
  <conditionalFormatting sqref="N14:P14">
    <cfRule type="containsText" text="MKPR 3RD" operator="containsText" priority="93" dxfId="160">
      <formula>NOT(ISERROR(SEARCH("MKPR 3RD",N14)))</formula>
    </cfRule>
    <cfRule type="containsText" text="VND" operator="containsText" priority="91" dxfId="161">
      <formula>NOT(ISERROR(SEARCH("VND",N14)))</formula>
    </cfRule>
    <cfRule type="containsText" text="MKPD" operator="containsText" priority="92" dxfId="162">
      <formula>NOT(ISERROR(SEARCH("MKPD",N14)))</formula>
    </cfRule>
  </conditionalFormatting>
  <conditionalFormatting sqref="G9">
    <cfRule type="cellIs" operator="equal" priority="316" dxfId="163">
      <formula>$A$2</formula>
    </cfRule>
  </conditionalFormatting>
  <conditionalFormatting sqref="I49">
    <cfRule type="containsText" text="VND" operator="containsText" priority="28" dxfId="164">
      <formula>NOT(ISERROR(SEARCH("VND",I49)))</formula>
    </cfRule>
    <cfRule type="containsText" text="MKPR 3RD" operator="containsText" priority="30" dxfId="165">
      <formula>NOT(ISERROR(SEARCH("MKPR 3RD",I49)))</formula>
    </cfRule>
    <cfRule type="containsText" text="MKPD" operator="containsText" priority="29" dxfId="166">
      <formula>NOT(ISERROR(SEARCH("MKPD",I49)))</formula>
    </cfRule>
  </conditionalFormatting>
  <conditionalFormatting sqref="B28">
    <cfRule type="containsText" text="VND" operator="containsText" priority="85" dxfId="167">
      <formula>NOT(ISERROR(SEARCH("VND",B28)))</formula>
    </cfRule>
    <cfRule type="containsText" text="MKPD" operator="containsText" priority="86" dxfId="168">
      <formula>NOT(ISERROR(SEARCH("MKPD",B28)))</formula>
    </cfRule>
  </conditionalFormatting>
  <conditionalFormatting sqref="B2 D2 B9 D9 I9:P9 F2 H2 J2 L2 N2:P2">
    <cfRule type="cellIs" operator="equal" priority="638" dxfId="169">
      <formula>$A$2</formula>
    </cfRule>
  </conditionalFormatting>
  <conditionalFormatting sqref="B44:G44">
    <cfRule type="cellIs" operator="equal" priority="209" dxfId="170">
      <formula>$A$2</formula>
    </cfRule>
  </conditionalFormatting>
  <conditionalFormatting sqref="B23:C23 E23:P23">
    <cfRule type="cellIs" operator="equal" priority="312" dxfId="171">
      <formula>$A$2</formula>
    </cfRule>
  </conditionalFormatting>
  <conditionalFormatting sqref="H44">
    <cfRule type="cellIs" operator="equal" priority="130" dxfId="172">
      <formula>$A$2</formula>
    </cfRule>
  </conditionalFormatting>
  <conditionalFormatting sqref="F9">
    <cfRule type="cellIs" operator="equal" priority="614" dxfId="173">
      <formula>$A$2</formula>
    </cfRule>
  </conditionalFormatting>
  <conditionalFormatting sqref="B30:P30">
    <cfRule type="cellIs" operator="equal" priority="291" dxfId="174">
      <formula>$A$2</formula>
    </cfRule>
  </conditionalFormatting>
  <pageMargins left="0.393055555555556" right="0.393055555555556" top="0.393055555555556" bottom="0.393055555555556" header="0.5" footer="0.5"/>
  <pageSetup paperSize="9" scale="51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4CACC6"/>
    <pageSetUpPr fitToPage="1"/>
  </sheetPr>
  <dimension ref="A1:AO15"/>
  <sheetViews>
    <sheetView workbookViewId="0" zoomScale="143">
      <pane xSplit="1" ySplit="2" topLeftCell="B3" state="frozen" activePane="bottomRight"/>
      <selection pane="bottomRight" activeCell="C5" sqref="C5"/>
    </sheetView>
  </sheetViews>
  <sheetFormatPr defaultRowHeight="13.8" defaultColWidth="9"/>
  <cols>
    <col min="1" max="1" customWidth="1" width="13.7109375" style="1"/>
    <col min="2" max="2" customWidth="1" width="11.5703125" style="1"/>
    <col min="3" max="19" customWidth="1" width="10.136719" style="2"/>
    <col min="20" max="21" customWidth="1" width="10.136719" style="269"/>
    <col min="22" max="22" customWidth="1" width="10.136719" style="270"/>
    <col min="23" max="33" customWidth="1" width="11.5703125" style="270"/>
    <col min="34" max="36" customWidth="0" width="18.851562" style="3"/>
    <col min="37" max="16384" customWidth="0" width="9.136719" style="3"/>
  </cols>
  <sheetData>
    <row r="1" spans="8:8" s="7" ht="15.95" customFormat="1" customHeight="1">
      <c r="A1" s="271" t="s">
        <v>1</v>
      </c>
      <c r="B1" s="272">
        <v>799.0</v>
      </c>
      <c r="C1" s="35">
        <v>799.0</v>
      </c>
      <c r="D1" s="35">
        <v>799.0</v>
      </c>
      <c r="E1" s="35">
        <v>799.0</v>
      </c>
      <c r="F1" s="35">
        <v>799.0</v>
      </c>
      <c r="G1" s="35">
        <v>799.0</v>
      </c>
      <c r="H1" s="35">
        <v>799.0</v>
      </c>
      <c r="I1" s="35">
        <v>799.0</v>
      </c>
      <c r="J1" s="35">
        <v>799.0</v>
      </c>
      <c r="K1" s="35">
        <v>799.0</v>
      </c>
      <c r="L1" s="35">
        <v>799.0</v>
      </c>
      <c r="M1" s="35">
        <v>799.0</v>
      </c>
      <c r="N1" s="35">
        <v>799.0</v>
      </c>
      <c r="O1" s="35">
        <v>719.0</v>
      </c>
      <c r="P1" s="35">
        <v>715.0</v>
      </c>
      <c r="Q1" s="35">
        <v>705.0</v>
      </c>
      <c r="R1" s="35">
        <v>711.0</v>
      </c>
      <c r="S1" s="35">
        <v>701.0</v>
      </c>
      <c r="T1" s="35">
        <v>724.0</v>
      </c>
      <c r="U1" s="35">
        <v>725.0</v>
      </c>
      <c r="V1" s="35">
        <v>702.0</v>
      </c>
      <c r="W1" s="35">
        <v>726.0</v>
      </c>
      <c r="X1" s="35">
        <v>710.0</v>
      </c>
      <c r="Y1" s="35">
        <v>727.0</v>
      </c>
      <c r="Z1" s="35">
        <v>716.0</v>
      </c>
      <c r="AA1" s="35">
        <v>728.0</v>
      </c>
      <c r="AB1" s="35">
        <v>737.0</v>
      </c>
      <c r="AC1" s="35">
        <v>720.0</v>
      </c>
      <c r="AD1" s="35">
        <v>730.0</v>
      </c>
      <c r="AE1" s="35">
        <v>721.0</v>
      </c>
      <c r="AF1" s="35">
        <v>731.0</v>
      </c>
      <c r="AG1" s="35">
        <v>722.0</v>
      </c>
    </row>
    <row r="2" spans="8:8" s="12" ht="15.0" customFormat="1" customHeight="1">
      <c r="A2" s="273"/>
      <c r="B2" s="14" t="s">
        <v>10</v>
      </c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8:8" s="17" ht="18.95" customFormat="1" customHeight="1">
      <c r="A3" s="274" t="s">
        <v>176</v>
      </c>
      <c r="B3" s="275">
        <v>0.229166666666667</v>
      </c>
      <c r="C3" s="21">
        <v>0.3333333333333333</v>
      </c>
      <c r="D3" s="21" t="e">
        <f>#REF!+'L-7 KEY NEW(JPVE)'!$T$20</f>
        <v>#REF!</v>
      </c>
      <c r="E3" s="21" t="e">
        <f>#REF!+'L-7 KEY NEW(JPVE)'!$T$20</f>
        <v>#REF!</v>
      </c>
      <c r="F3" s="21" t="e">
        <f>#REF!+'L-7 KEY NEW(JPVE)'!$T$20</f>
        <v>#REF!</v>
      </c>
      <c r="G3" s="21" t="e">
        <f>#REF!+'L-7 KEY NEW(JPVE)'!$T$20</f>
        <v>#REF!</v>
      </c>
      <c r="H3" s="21" t="e">
        <f>#REF!+'L-7 KEY NEW(JPVE)'!$T$20</f>
        <v>#REF!</v>
      </c>
      <c r="I3" s="21" t="e">
        <f>#REF!+'L-7 KEY NEW(JPVE)'!$T$20</f>
        <v>#REF!</v>
      </c>
      <c r="J3" s="21" t="e">
        <f>#REF!+'L-7 KEY NEW(JPVE)'!$T$20</f>
        <v>#REF!</v>
      </c>
      <c r="K3" s="21" t="e">
        <f>#REF!+'L-7 KEY NEW(JPVE)'!$T$20</f>
        <v>#REF!</v>
      </c>
      <c r="L3" s="21" t="e">
        <f>#REF!+'L-7 KEY NEW(JPVE)'!$T$20</f>
        <v>#REF!</v>
      </c>
      <c r="M3" s="21" t="e">
        <f>#REF!+'L-7 KEY NEW(JPVE)'!$T$20</f>
        <v>#REF!</v>
      </c>
      <c r="N3" s="21" t="e">
        <f>#REF!+'L-7 KEY NEW(JPVE)'!$T$20</f>
        <v>#REF!</v>
      </c>
      <c r="O3" s="21" t="e">
        <f>#REF!+'L-7 KEY NEW(JPVE)'!$T$20</f>
        <v>#REF!</v>
      </c>
      <c r="P3" s="21" t="e">
        <f>#REF!+'L-7 KEY NEW(JPVE)'!$T$20</f>
        <v>#REF!</v>
      </c>
      <c r="Q3" s="21" t="e">
        <f>#REF!+'L-7 KEY NEW(JPVE)'!$T$20</f>
        <v>#REF!</v>
      </c>
      <c r="R3" s="21" t="e">
        <f>#REF!+'L-7 KEY NEW(JPVE)'!$T$20</f>
        <v>#REF!</v>
      </c>
      <c r="S3" s="21" t="e">
        <f>#REF!+'L-7 KEY NEW(JPVE)'!$T$20</f>
        <v>#REF!</v>
      </c>
      <c r="T3" s="21" t="e">
        <f>#REF!+'L-7 KEY NEW(JPVE)'!$T$20</f>
        <v>#REF!</v>
      </c>
      <c r="U3" s="21" t="e">
        <f>#REF!+'L-7 KEY NEW(JPVE)'!$T$20</f>
        <v>#REF!</v>
      </c>
      <c r="V3" s="21" t="e">
        <f>#REF!+'L-7 KEY NEW(JPVE)'!$T$20</f>
        <v>#REF!</v>
      </c>
      <c r="W3" s="21" t="e">
        <f>#REF!+'L-7 KEY NEW(JPVE)'!$T$20</f>
        <v>#REF!</v>
      </c>
      <c r="X3" s="21" t="e">
        <f>#REF!+'L-7 KEY NEW(JPVE)'!$T$20</f>
        <v>#REF!</v>
      </c>
      <c r="Y3" s="21" t="e">
        <f>#REF!+'L-7 KEY NEW(JPVE)'!$T$20</f>
        <v>#REF!</v>
      </c>
      <c r="Z3" s="21" t="e">
        <f>#REF!+'L-7 KEY NEW(JPVE)'!$T$20</f>
        <v>#REF!</v>
      </c>
      <c r="AA3" s="21" t="e">
        <f>#REF!+'L-7 KEY NEW(JPVE)'!$T$20</f>
        <v>#REF!</v>
      </c>
      <c r="AB3" s="21" t="e">
        <f>#REF!+'L-7 KEY NEW(JPVE)'!$T$20</f>
        <v>#REF!</v>
      </c>
      <c r="AC3" s="21" t="e">
        <f>#REF!+'L-7 KEY NEW(JPVE)'!$T$20</f>
        <v>#REF!</v>
      </c>
      <c r="AD3" s="21" t="e">
        <f>#REF!+'L-7 KEY NEW(JPVE)'!$T$20</f>
        <v>#REF!</v>
      </c>
      <c r="AE3" s="21" t="e">
        <f>#REF!+'L-7 KEY NEW(JPVE)'!$T$20</f>
        <v>#REF!</v>
      </c>
      <c r="AF3" s="21" t="e">
        <f>#REF!+'L-7 KEY NEW(JPVE)'!$T$20</f>
        <v>#REF!</v>
      </c>
      <c r="AG3" s="21" t="e">
        <f>#REF!+'L-7 KEY NEW(JPVE)'!$T$20</f>
        <v>#REF!</v>
      </c>
    </row>
    <row r="4" spans="8:8" ht="15.0" customHeight="1">
      <c r="A4" s="276" t="s">
        <v>177</v>
      </c>
      <c r="B4" s="277">
        <f>B3+'L-7 KEY NEW(JPVE)'!$I5</f>
        <v>0.23212962962962996</v>
      </c>
      <c r="C4" s="25">
        <f>C3+'L-7 KEY NEW(JPVE)'!$D63</f>
        <v>0.3362962962962959</v>
      </c>
      <c r="D4" s="25" t="e">
        <f>D3+'L-7 KEY NEW(JPVE)'!$D5</f>
        <v>#REF!</v>
      </c>
      <c r="E4" s="25" t="e">
        <f>E3+'L-7 KEY NEW(JPVE)'!$D5</f>
        <v>#REF!</v>
      </c>
      <c r="F4" s="25" t="e">
        <f>F3+'L-7 KEY NEW(JPVE)'!$D5</f>
        <v>#REF!</v>
      </c>
      <c r="G4" s="25" t="e">
        <f>G3+'L-7 KEY NEW(JPVE)'!$D5</f>
        <v>#REF!</v>
      </c>
      <c r="H4" s="25" t="e">
        <f>H3+'L-7 KEY NEW(JPVE)'!$D5</f>
        <v>#REF!</v>
      </c>
      <c r="I4" s="25" t="e">
        <f>I3+'L-7 KEY NEW(JPVE)'!$D5</f>
        <v>#REF!</v>
      </c>
      <c r="J4" s="25" t="e">
        <f>J3+'L-7 KEY NEW(JPVE)'!$D5</f>
        <v>#REF!</v>
      </c>
      <c r="K4" s="25" t="e">
        <f>K3+'L-7 KEY NEW(JPVE)'!$D5</f>
        <v>#REF!</v>
      </c>
      <c r="L4" s="25" t="e">
        <f>L3+'L-7 KEY NEW(JPVE)'!$D5</f>
        <v>#REF!</v>
      </c>
      <c r="M4" s="25" t="e">
        <f>M3+'L-7 KEY NEW(JPVE)'!$D5</f>
        <v>#REF!</v>
      </c>
      <c r="N4" s="25" t="e">
        <f>N3+'L-7 KEY NEW(JPVE)'!$D5</f>
        <v>#REF!</v>
      </c>
      <c r="O4" s="25" t="e">
        <f>O3+'L-7 KEY NEW(JPVE)'!$D5</f>
        <v>#REF!</v>
      </c>
      <c r="P4" s="25" t="e">
        <f>P3+'L-7 KEY NEW(JPVE)'!$D5</f>
        <v>#REF!</v>
      </c>
      <c r="Q4" s="25" t="e">
        <f>Q3+'L-7 KEY NEW(JPVE)'!$D5</f>
        <v>#REF!</v>
      </c>
      <c r="R4" s="25" t="e">
        <f>R3+'L-7 KEY NEW(JPVE)'!$D5</f>
        <v>#REF!</v>
      </c>
      <c r="S4" s="25" t="e">
        <f>S3+'L-7 KEY NEW(JPVE)'!$D5</f>
        <v>#REF!</v>
      </c>
      <c r="T4" s="25" t="e">
        <f>T3+'L-7 KEY NEW(JPVE)'!$D5</f>
        <v>#REF!</v>
      </c>
      <c r="U4" s="25" t="e">
        <f>U3+'L-7 KEY NEW(JPVE)'!$D5</f>
        <v>#REF!</v>
      </c>
      <c r="V4" s="25" t="e">
        <f>V3+'L-7 KEY NEW(JPVE)'!$D5</f>
        <v>#REF!</v>
      </c>
      <c r="W4" s="25" t="e">
        <f>W3+'L-7 KEY NEW(JPVE)'!$D5</f>
        <v>#REF!</v>
      </c>
      <c r="X4" s="25" t="e">
        <f>X3+'L-7 KEY NEW(JPVE)'!$D5</f>
        <v>#REF!</v>
      </c>
      <c r="Y4" s="25" t="e">
        <f>Y3+'L-7 KEY NEW(JPVE)'!$D5</f>
        <v>#REF!</v>
      </c>
      <c r="Z4" s="25" t="e">
        <f>Z3+'L-7 KEY NEW(JPVE)'!$D5</f>
        <v>#REF!</v>
      </c>
      <c r="AA4" s="25" t="e">
        <f>AA3+'L-7 KEY NEW(JPVE)'!$D5</f>
        <v>#REF!</v>
      </c>
      <c r="AB4" s="25" t="e">
        <f>AB3+'L-7 KEY NEW(JPVE)'!$D5</f>
        <v>#REF!</v>
      </c>
      <c r="AC4" s="25" t="e">
        <f>AC3+'L-7 KEY NEW(JPVE)'!$D5</f>
        <v>#REF!</v>
      </c>
      <c r="AD4" s="25" t="e">
        <f>AD3+'L-7 KEY NEW(JPVE)'!$D5</f>
        <v>#REF!</v>
      </c>
      <c r="AE4" s="25" t="e">
        <f>AE3+'L-7 KEY NEW(JPVE)'!$D5</f>
        <v>#REF!</v>
      </c>
      <c r="AF4" s="25" t="e">
        <f>AF3+'L-7 KEY NEW(JPVE)'!$D5</f>
        <v>#REF!</v>
      </c>
      <c r="AG4" s="25" t="e">
        <f>AG3+'L-7 KEY NEW(JPVE)'!$D5</f>
        <v>#REF!</v>
      </c>
    </row>
    <row r="5" spans="8:8" ht="15.0" customHeight="1">
      <c r="A5" s="276" t="s">
        <v>178</v>
      </c>
      <c r="B5" s="278">
        <f>B4+'L-7 KEY NEW(JPVE)'!$I6</f>
        <v>0.23597222222222258</v>
      </c>
      <c r="C5" s="25">
        <f>C4+'L-7 KEY NEW(JPVE)'!$D64</f>
        <v>0.3390393518518515</v>
      </c>
      <c r="D5" s="27" t="e">
        <f>E4+'L-7 KEY NEW(JPVE)'!$D6</f>
        <v>#REF!</v>
      </c>
      <c r="E5" s="27" t="e">
        <f>F4+'L-7 KEY NEW(JPVE)'!$D6</f>
        <v>#REF!</v>
      </c>
      <c r="F5" s="27" t="e">
        <f>G4+'L-7 KEY NEW(JPVE)'!$D6</f>
        <v>#REF!</v>
      </c>
      <c r="G5" s="27" t="e">
        <f>H4+'L-7 KEY NEW(JPVE)'!$D6</f>
        <v>#REF!</v>
      </c>
      <c r="H5" s="27" t="e">
        <f>I4+'L-7 KEY NEW(JPVE)'!$D6</f>
        <v>#REF!</v>
      </c>
      <c r="I5" s="27" t="e">
        <f>J4+'L-7 KEY NEW(JPVE)'!$D6</f>
        <v>#REF!</v>
      </c>
      <c r="J5" s="27" t="e">
        <f>K4+'L-7 KEY NEW(JPVE)'!$D6</f>
        <v>#REF!</v>
      </c>
      <c r="K5" s="27" t="e">
        <f>L4+'L-7 KEY NEW(JPVE)'!$D6</f>
        <v>#REF!</v>
      </c>
      <c r="L5" s="27" t="e">
        <f>M4+'L-7 KEY NEW(JPVE)'!$D6</f>
        <v>#REF!</v>
      </c>
      <c r="M5" s="27" t="e">
        <f>N4+'L-7 KEY NEW(JPVE)'!$D6</f>
        <v>#REF!</v>
      </c>
      <c r="N5" s="27" t="e">
        <f>O4+'L-7 KEY NEW(JPVE)'!$D6</f>
        <v>#REF!</v>
      </c>
      <c r="O5" s="27" t="e">
        <f>P4+'L-7 KEY NEW(JPVE)'!$D6</f>
        <v>#REF!</v>
      </c>
      <c r="P5" s="27" t="e">
        <f>Q4+'L-7 KEY NEW(JPVE)'!$D6</f>
        <v>#REF!</v>
      </c>
      <c r="Q5" s="27" t="e">
        <f>R4+'L-7 KEY NEW(JPVE)'!$D6</f>
        <v>#REF!</v>
      </c>
      <c r="R5" s="27" t="e">
        <f>S4+'L-7 KEY NEW(JPVE)'!$D6</f>
        <v>#REF!</v>
      </c>
      <c r="S5" s="27" t="e">
        <f>T4+'L-7 KEY NEW(JPVE)'!$D6</f>
        <v>#REF!</v>
      </c>
      <c r="T5" s="27" t="e">
        <f>U4+'L-7 KEY NEW(JPVE)'!$D6</f>
        <v>#REF!</v>
      </c>
      <c r="U5" s="27" t="e">
        <f>V4+'L-7 KEY NEW(JPVE)'!$D6</f>
        <v>#REF!</v>
      </c>
      <c r="V5" s="27" t="e">
        <f>W4+'L-7 KEY NEW(JPVE)'!$D6</f>
        <v>#REF!</v>
      </c>
      <c r="W5" s="27" t="e">
        <f>X4+'L-7 KEY NEW(JPVE)'!$D6</f>
        <v>#REF!</v>
      </c>
      <c r="X5" s="27" t="e">
        <f>Y4+'L-7 KEY NEW(JPVE)'!$D6</f>
        <v>#REF!</v>
      </c>
      <c r="Y5" s="27" t="e">
        <f>Z4+'L-7 KEY NEW(JPVE)'!$D6</f>
        <v>#REF!</v>
      </c>
      <c r="Z5" s="27" t="e">
        <f>AA4+'L-7 KEY NEW(JPVE)'!$D6</f>
        <v>#REF!</v>
      </c>
      <c r="AA5" s="27" t="e">
        <f>AB4+'L-7 KEY NEW(JPVE)'!$D6</f>
        <v>#REF!</v>
      </c>
      <c r="AB5" s="27" t="e">
        <f>AC4+'L-7 KEY NEW(JPVE)'!$D6</f>
        <v>#REF!</v>
      </c>
      <c r="AC5" s="27" t="e">
        <f>AD4+'L-7 KEY NEW(JPVE)'!$D6</f>
        <v>#REF!</v>
      </c>
      <c r="AD5" s="27" t="e">
        <f>AE4+'L-7 KEY NEW(JPVE)'!$D6</f>
        <v>#REF!</v>
      </c>
      <c r="AE5" s="27" t="e">
        <f>AF4+'L-7 KEY NEW(JPVE)'!$D6</f>
        <v>#REF!</v>
      </c>
      <c r="AF5" s="27" t="e">
        <f>AG4+'L-7 KEY NEW(JPVE)'!$D6</f>
        <v>#REF!</v>
      </c>
    </row>
    <row r="6" spans="8:8" s="29" ht="15.95" customFormat="1" customHeight="1">
      <c r="A6" s="30" t="s">
        <v>8</v>
      </c>
      <c r="B6" s="31" t="s">
        <v>2</v>
      </c>
      <c r="C6" s="31" t="s">
        <v>2</v>
      </c>
      <c r="D6" s="31" t="s">
        <v>2</v>
      </c>
      <c r="E6" s="31" t="s">
        <v>2</v>
      </c>
      <c r="F6" s="31" t="s">
        <v>2</v>
      </c>
      <c r="G6" s="31" t="s">
        <v>2</v>
      </c>
      <c r="H6" s="31" t="s">
        <v>2</v>
      </c>
      <c r="I6" s="31" t="s">
        <v>2</v>
      </c>
      <c r="J6" s="31" t="s">
        <v>2</v>
      </c>
      <c r="K6" s="31" t="s">
        <v>2</v>
      </c>
      <c r="L6" s="31" t="s">
        <v>2</v>
      </c>
      <c r="M6" s="31" t="s">
        <v>2</v>
      </c>
      <c r="N6" s="31" t="s">
        <v>2</v>
      </c>
      <c r="O6" s="31" t="s">
        <v>2</v>
      </c>
      <c r="P6" s="31" t="s">
        <v>2</v>
      </c>
      <c r="Q6" s="31" t="s">
        <v>2</v>
      </c>
      <c r="R6" s="31" t="s">
        <v>2</v>
      </c>
      <c r="S6" s="31" t="s">
        <v>2</v>
      </c>
      <c r="T6" s="31" t="s">
        <v>2</v>
      </c>
      <c r="U6" s="31" t="s">
        <v>2</v>
      </c>
      <c r="V6" s="31" t="s">
        <v>2</v>
      </c>
      <c r="W6" s="31" t="s">
        <v>2</v>
      </c>
      <c r="X6" s="31" t="s">
        <v>2</v>
      </c>
      <c r="Y6" s="31" t="s">
        <v>2</v>
      </c>
      <c r="Z6" s="31" t="s">
        <v>2</v>
      </c>
      <c r="AA6" s="31" t="s">
        <v>2</v>
      </c>
      <c r="AB6" s="31" t="s">
        <v>2</v>
      </c>
      <c r="AC6" s="31" t="s">
        <v>2</v>
      </c>
      <c r="AD6" s="31" t="s">
        <v>2</v>
      </c>
      <c r="AE6" s="31" t="s">
        <v>2</v>
      </c>
      <c r="AF6" s="31" t="s">
        <v>2</v>
      </c>
      <c r="AG6" s="31" t="s">
        <v>2</v>
      </c>
    </row>
    <row r="7" spans="8:8" s="33" ht="15.95" customFormat="1" customHeight="1">
      <c r="A7" s="279" t="s">
        <v>9</v>
      </c>
      <c r="B7" s="280">
        <f>B1</f>
        <v>799.0</v>
      </c>
      <c r="C7" s="280">
        <f>C1</f>
        <v>799.0</v>
      </c>
      <c r="D7" s="280">
        <f>D1</f>
        <v>799.0</v>
      </c>
      <c r="E7" s="280">
        <f>E1</f>
        <v>799.0</v>
      </c>
      <c r="F7" s="280">
        <f>F1</f>
        <v>799.0</v>
      </c>
      <c r="G7" s="280">
        <f>G1</f>
        <v>799.0</v>
      </c>
      <c r="H7" s="280">
        <f>H1</f>
        <v>799.0</v>
      </c>
      <c r="I7" s="280">
        <f>I1</f>
        <v>799.0</v>
      </c>
      <c r="J7" s="280">
        <f>J1</f>
        <v>799.0</v>
      </c>
      <c r="K7" s="46">
        <f>K1</f>
        <v>799.0</v>
      </c>
      <c r="L7" s="46">
        <f>L1</f>
        <v>799.0</v>
      </c>
      <c r="M7" s="46">
        <f>M1</f>
        <v>799.0</v>
      </c>
      <c r="N7" s="46">
        <f>N1</f>
        <v>799.0</v>
      </c>
      <c r="O7" s="46">
        <f>O1</f>
        <v>719.0</v>
      </c>
      <c r="P7" s="46">
        <f>P1</f>
        <v>715.0</v>
      </c>
      <c r="Q7" s="46">
        <f>Q1</f>
        <v>705.0</v>
      </c>
      <c r="R7" s="46">
        <f>R1</f>
        <v>711.0</v>
      </c>
      <c r="S7" s="46">
        <f>S1</f>
        <v>701.0</v>
      </c>
      <c r="T7" s="46">
        <f>T1</f>
        <v>724.0</v>
      </c>
      <c r="U7" s="46">
        <f>U1</f>
        <v>725.0</v>
      </c>
      <c r="V7" s="46">
        <f>V1</f>
        <v>702.0</v>
      </c>
      <c r="W7" s="46">
        <f>W1</f>
        <v>726.0</v>
      </c>
      <c r="X7" s="46">
        <f>X1</f>
        <v>710.0</v>
      </c>
      <c r="Y7" s="46">
        <f>Y1</f>
        <v>727.0</v>
      </c>
      <c r="Z7" s="46">
        <f>Z1</f>
        <v>716.0</v>
      </c>
      <c r="AA7" s="46">
        <f>AA1</f>
        <v>728.0</v>
      </c>
      <c r="AB7" s="46">
        <f>AB1</f>
        <v>737.0</v>
      </c>
      <c r="AC7" s="46">
        <f>AC1</f>
        <v>720.0</v>
      </c>
      <c r="AD7" s="46">
        <f>AD1</f>
        <v>730.0</v>
      </c>
      <c r="AE7" s="46">
        <f>AE1</f>
        <v>721.0</v>
      </c>
      <c r="AF7" s="46">
        <f>AF1</f>
        <v>731.0</v>
      </c>
      <c r="AG7" s="46">
        <f>AG1</f>
        <v>722.0</v>
      </c>
    </row>
    <row r="8" spans="8:8" s="37" ht="15.0" customFormat="1" customHeight="1">
      <c r="A8" s="276" t="s">
        <v>178</v>
      </c>
      <c r="B8" s="25">
        <v>0.25</v>
      </c>
      <c r="C8" s="25" t="e">
        <f>#REF!+'L-7 KEY NEW(JPVE)'!$T$20</f>
        <v>#REF!</v>
      </c>
      <c r="D8" s="25" t="e">
        <f>#REF!+'L-7 KEY NEW(JPVE)'!$T$20</f>
        <v>#REF!</v>
      </c>
      <c r="E8" s="25" t="e">
        <f>#REF!+'L-7 KEY NEW(JPVE)'!$T$20</f>
        <v>#REF!</v>
      </c>
      <c r="F8" s="25" t="e">
        <f>#REF!+'L-7 KEY NEW(JPVE)'!$T$20</f>
        <v>#REF!</v>
      </c>
      <c r="G8" s="25" t="e">
        <f>#REF!+'L-7 KEY NEW(JPVE)'!$T$20</f>
        <v>#REF!</v>
      </c>
      <c r="H8" s="25" t="e">
        <f>#REF!+'L-7 KEY NEW(JPVE)'!$T$20</f>
        <v>#REF!</v>
      </c>
      <c r="I8" s="25" t="e">
        <f>#REF!+'L-7 KEY NEW(JPVE)'!$T$20</f>
        <v>#REF!</v>
      </c>
      <c r="J8" s="25" t="e">
        <f>#REF!+'L-7 KEY NEW(JPVE)'!$T$20</f>
        <v>#REF!</v>
      </c>
      <c r="K8" s="25" t="e">
        <f>#REF!+'L-7 KEY NEW(JPVE)'!$T$20</f>
        <v>#REF!</v>
      </c>
      <c r="L8" s="25" t="e">
        <f>#REF!+'L-7 KEY NEW(JPVE)'!$T$20</f>
        <v>#REF!</v>
      </c>
      <c r="M8" s="25" t="e">
        <f>#REF!+'L-7 KEY NEW(JPVE)'!$T$20</f>
        <v>#REF!</v>
      </c>
      <c r="N8" s="25" t="e">
        <f>#REF!+'L-7 KEY NEW(JPVE)'!$T$20</f>
        <v>#REF!</v>
      </c>
      <c r="O8" s="25" t="e">
        <f>#REF!+'L-7 KEY NEW(JPVE)'!$T$20</f>
        <v>#REF!</v>
      </c>
      <c r="P8" s="25" t="e">
        <f>#REF!+'L-7 KEY NEW(JPVE)'!$T$20</f>
        <v>#REF!</v>
      </c>
      <c r="Q8" s="25" t="e">
        <f>#REF!+'L-7 KEY NEW(JPVE)'!$T$20</f>
        <v>#REF!</v>
      </c>
      <c r="R8" s="25" t="e">
        <f>#REF!+'L-7 KEY NEW(JPVE)'!$T$20</f>
        <v>#REF!</v>
      </c>
      <c r="S8" s="25" t="e">
        <f>#REF!+'L-7 KEY NEW(JPVE)'!$T$20</f>
        <v>#REF!</v>
      </c>
      <c r="T8" s="25" t="e">
        <f>#REF!+'L-7 KEY NEW(JPVE)'!$T$20</f>
        <v>#REF!</v>
      </c>
      <c r="U8" s="25" t="e">
        <f>#REF!+'L-7 KEY NEW(JPVE)'!$T$20</f>
        <v>#REF!</v>
      </c>
      <c r="V8" s="25" t="e">
        <f>#REF!+'L-7 KEY NEW(JPVE)'!$T$20</f>
        <v>#REF!</v>
      </c>
      <c r="W8" s="25" t="e">
        <f>#REF!+'L-7 KEY NEW(JPVE)'!$T$20</f>
        <v>#REF!</v>
      </c>
      <c r="X8" s="25" t="e">
        <f>#REF!+'L-7 KEY NEW(JPVE)'!$T$20</f>
        <v>#REF!</v>
      </c>
      <c r="Y8" s="25" t="e">
        <f>#REF!+'L-7 KEY NEW(JPVE)'!$T$20</f>
        <v>#REF!</v>
      </c>
      <c r="Z8" s="25" t="e">
        <f>#REF!+'L-7 KEY NEW(JPVE)'!$T$20</f>
        <v>#REF!</v>
      </c>
      <c r="AA8" s="25" t="e">
        <f>#REF!+'L-7 KEY NEW(JPVE)'!$T$20</f>
        <v>#REF!</v>
      </c>
      <c r="AB8" s="25" t="e">
        <f>#REF!+'L-7 KEY NEW(JPVE)'!$T$20</f>
        <v>#REF!</v>
      </c>
      <c r="AC8" s="25" t="e">
        <f>#REF!+'L-7 KEY NEW(JPVE)'!$T$20</f>
        <v>#REF!</v>
      </c>
      <c r="AD8" s="25" t="e">
        <f>#REF!+'L-7 KEY NEW(JPVE)'!$T$20</f>
        <v>#REF!</v>
      </c>
      <c r="AE8" s="25" t="e">
        <f>#REF!+'L-7 KEY NEW(JPVE)'!$T$20</f>
        <v>#REF!</v>
      </c>
      <c r="AF8" s="25" t="e">
        <f>#REF!+'L-7 KEY NEW(JPVE)'!$T$20</f>
        <v>#REF!</v>
      </c>
      <c r="AG8" s="25" t="e">
        <f>#REF!+'L-7 KEY NEW(JPVE)'!$T$20</f>
        <v>#REF!</v>
      </c>
    </row>
    <row r="9" spans="8:8" ht="15.0" customHeight="1">
      <c r="A9" s="276" t="s">
        <v>177</v>
      </c>
      <c r="B9" s="25">
        <f>B8+'L-7 KEY NEW(JPVE)'!$M5</f>
        <v>0.25461805555555556</v>
      </c>
      <c r="C9" s="25" t="e">
        <f>C8+'L-7 KEY NEW(JPVE)'!$M5</f>
        <v>#REF!</v>
      </c>
      <c r="D9" s="25" t="e">
        <f>D8+'L-7 KEY NEW(JPVE)'!$M5</f>
        <v>#REF!</v>
      </c>
      <c r="E9" s="25" t="e">
        <f>E8+'L-7 KEY NEW(JPVE)'!$M5</f>
        <v>#REF!</v>
      </c>
      <c r="F9" s="25" t="e">
        <f>F8+'L-7 KEY NEW(JPVE)'!$M5</f>
        <v>#REF!</v>
      </c>
      <c r="G9" s="25" t="e">
        <f>G8+'L-7 KEY NEW(JPVE)'!$M5</f>
        <v>#REF!</v>
      </c>
      <c r="H9" s="25" t="e">
        <f>H8+'L-7 KEY NEW(JPVE)'!$M5</f>
        <v>#REF!</v>
      </c>
      <c r="I9" s="25" t="e">
        <f>I8+'L-7 KEY NEW(JPVE)'!$M5</f>
        <v>#REF!</v>
      </c>
      <c r="J9" s="25" t="e">
        <f>J8+'L-7 KEY NEW(JPVE)'!$M5</f>
        <v>#REF!</v>
      </c>
      <c r="K9" s="25" t="e">
        <f>K8+'L-7 KEY NEW(JPVE)'!$M5</f>
        <v>#REF!</v>
      </c>
      <c r="L9" s="25" t="e">
        <f>L8+'L-7 KEY NEW(JPVE)'!$M5</f>
        <v>#REF!</v>
      </c>
      <c r="M9" s="25" t="e">
        <f>M8+'L-7 KEY NEW(JPVE)'!$M5</f>
        <v>#REF!</v>
      </c>
      <c r="N9" s="25" t="e">
        <f>N8+'L-7 KEY NEW(JPVE)'!$M5</f>
        <v>#REF!</v>
      </c>
      <c r="O9" s="25" t="e">
        <f>O8+'L-7 KEY NEW(JPVE)'!$M5</f>
        <v>#REF!</v>
      </c>
      <c r="P9" s="25" t="e">
        <f>P8+'L-7 KEY NEW(JPVE)'!$M5</f>
        <v>#REF!</v>
      </c>
      <c r="Q9" s="25" t="e">
        <f>Q8+'L-7 KEY NEW(JPVE)'!$M5</f>
        <v>#REF!</v>
      </c>
      <c r="R9" s="25" t="e">
        <f>R8+'L-7 KEY NEW(JPVE)'!$M5</f>
        <v>#REF!</v>
      </c>
      <c r="S9" s="25" t="e">
        <f>S8+'L-7 KEY NEW(JPVE)'!$M5</f>
        <v>#REF!</v>
      </c>
      <c r="T9" s="25" t="e">
        <f>T8+'L-7 KEY NEW(JPVE)'!$M5</f>
        <v>#REF!</v>
      </c>
      <c r="U9" s="25" t="e">
        <f>U8+'L-7 KEY NEW(JPVE)'!$M5</f>
        <v>#REF!</v>
      </c>
      <c r="V9" s="25" t="e">
        <f>V8+'L-7 KEY NEW(JPVE)'!$M5</f>
        <v>#REF!</v>
      </c>
      <c r="W9" s="25" t="e">
        <f>W8+'L-7 KEY NEW(JPVE)'!$M5</f>
        <v>#REF!</v>
      </c>
      <c r="X9" s="25" t="e">
        <f>X8+'L-7 KEY NEW(JPVE)'!$M5</f>
        <v>#REF!</v>
      </c>
      <c r="Y9" s="25" t="e">
        <f>Y8+'L-7 KEY NEW(JPVE)'!$M5</f>
        <v>#REF!</v>
      </c>
      <c r="Z9" s="25" t="e">
        <f>Z8+'L-7 KEY NEW(JPVE)'!$M5</f>
        <v>#REF!</v>
      </c>
      <c r="AA9" s="25" t="e">
        <f>AA8+'L-7 KEY NEW(JPVE)'!$M5</f>
        <v>#REF!</v>
      </c>
      <c r="AB9" s="25" t="e">
        <f>AB8+'L-7 KEY NEW(JPVE)'!$M5</f>
        <v>#REF!</v>
      </c>
      <c r="AC9" s="25" t="e">
        <f>AC8+'L-7 KEY NEW(JPVE)'!$M5</f>
        <v>#REF!</v>
      </c>
      <c r="AD9" s="25" t="e">
        <f>AD8+'L-7 KEY NEW(JPVE)'!$M5</f>
        <v>#REF!</v>
      </c>
      <c r="AE9" s="25" t="e">
        <f>AE8+'L-7 KEY NEW(JPVE)'!$M5</f>
        <v>#REF!</v>
      </c>
      <c r="AF9" s="25" t="e">
        <f>AF8+'L-7 KEY NEW(JPVE)'!$M5</f>
        <v>#REF!</v>
      </c>
      <c r="AG9" s="25"/>
    </row>
    <row r="10" spans="8:8" ht="15.0" customHeight="1">
      <c r="A10" s="274" t="s">
        <v>176</v>
      </c>
      <c r="B10" s="27">
        <f>B9+'L-7 KEY NEW(JPVE)'!$M6</f>
        <v>0.2576504629629634</v>
      </c>
      <c r="C10" s="27" t="e">
        <f>C9+'L-7 KEY NEW(JPVE)'!$M6</f>
        <v>#REF!</v>
      </c>
      <c r="D10" s="27" t="e">
        <f>D9+'L-7 KEY NEW(JPVE)'!$M6</f>
        <v>#REF!</v>
      </c>
      <c r="E10" s="27" t="e">
        <f>E9+'L-7 KEY NEW(JPVE)'!$M6</f>
        <v>#REF!</v>
      </c>
      <c r="F10" s="27" t="e">
        <f>F9+'L-7 KEY NEW(JPVE)'!$M6</f>
        <v>#REF!</v>
      </c>
      <c r="G10" s="27" t="e">
        <f>G9+'L-7 KEY NEW(JPVE)'!$M6</f>
        <v>#REF!</v>
      </c>
      <c r="H10" s="27" t="e">
        <f>H9+'L-7 KEY NEW(JPVE)'!$M6</f>
        <v>#REF!</v>
      </c>
      <c r="I10" s="27" t="e">
        <f>I9+'L-7 KEY NEW(JPVE)'!$M6</f>
        <v>#REF!</v>
      </c>
      <c r="J10" s="27" t="e">
        <f>J9+'L-7 KEY NEW(JPVE)'!$M6</f>
        <v>#REF!</v>
      </c>
      <c r="K10" s="27" t="e">
        <f>K9+'L-7 KEY NEW(JPVE)'!$M6</f>
        <v>#REF!</v>
      </c>
      <c r="L10" s="27" t="e">
        <f>L9+'L-7 KEY NEW(JPVE)'!$M6</f>
        <v>#REF!</v>
      </c>
      <c r="M10" s="27" t="e">
        <f>M9+'L-7 KEY NEW(JPVE)'!$M6</f>
        <v>#REF!</v>
      </c>
      <c r="N10" s="27" t="e">
        <f>N9+'L-7 KEY NEW(JPVE)'!$M6</f>
        <v>#REF!</v>
      </c>
      <c r="O10" s="27" t="e">
        <f>O9+'L-7 KEY NEW(JPVE)'!$M6</f>
        <v>#REF!</v>
      </c>
      <c r="P10" s="27" t="e">
        <f>P9+'L-7 KEY NEW(JPVE)'!$M6</f>
        <v>#REF!</v>
      </c>
      <c r="Q10" s="27" t="e">
        <f>Q9+'L-7 KEY NEW(JPVE)'!$M6</f>
        <v>#REF!</v>
      </c>
      <c r="R10" s="27" t="e">
        <f>R9+'L-7 KEY NEW(JPVE)'!$M6</f>
        <v>#REF!</v>
      </c>
      <c r="S10" s="27" t="e">
        <f>S9+'L-7 KEY NEW(JPVE)'!$M6</f>
        <v>#REF!</v>
      </c>
      <c r="T10" s="27" t="e">
        <f>T9+'L-7 KEY NEW(JPVE)'!$M6</f>
        <v>#REF!</v>
      </c>
      <c r="U10" s="27" t="e">
        <f>U9+'L-7 KEY NEW(JPVE)'!$M6</f>
        <v>#REF!</v>
      </c>
      <c r="V10" s="27" t="e">
        <f>V9+'L-7 KEY NEW(JPVE)'!$M6</f>
        <v>#REF!</v>
      </c>
      <c r="W10" s="27" t="e">
        <f>W9+'L-7 KEY NEW(JPVE)'!$M6</f>
        <v>#REF!</v>
      </c>
      <c r="X10" s="27" t="e">
        <f>X9+'L-7 KEY NEW(JPVE)'!$M6</f>
        <v>#REF!</v>
      </c>
      <c r="Y10" s="27" t="e">
        <f>Y9+'L-7 KEY NEW(JPVE)'!$M6</f>
        <v>#REF!</v>
      </c>
      <c r="Z10" s="27" t="e">
        <f>Z9+'L-7 KEY NEW(JPVE)'!$M6</f>
        <v>#REF!</v>
      </c>
      <c r="AA10" s="27" t="e">
        <f>AA9+'L-7 KEY NEW(JPVE)'!$M6</f>
        <v>#REF!</v>
      </c>
      <c r="AB10" s="27" t="e">
        <f>AB9+'L-7 KEY NEW(JPVE)'!$M6</f>
        <v>#REF!</v>
      </c>
      <c r="AC10" s="27" t="e">
        <f>AC9+'L-7 KEY NEW(JPVE)'!$M6</f>
        <v>#REF!</v>
      </c>
      <c r="AD10" s="27" t="e">
        <f>AD9+'L-7 KEY NEW(JPVE)'!$M6</f>
        <v>#REF!</v>
      </c>
      <c r="AE10" s="27" t="e">
        <f>AE9+'L-7 KEY NEW(JPVE)'!$M6</f>
        <v>#REF!</v>
      </c>
      <c r="AF10" s="27" t="e">
        <f>AF9+'L-7 KEY NEW(JPVE)'!$M6</f>
        <v>#REF!</v>
      </c>
      <c r="AG10" s="27"/>
    </row>
    <row r="11" spans="8:8" s="39" ht="15.95" customFormat="1" customHeight="1">
      <c r="A11" s="105" t="s">
        <v>8</v>
      </c>
      <c r="B11" s="106" t="s">
        <v>10</v>
      </c>
      <c r="C11" s="106" t="s">
        <v>10</v>
      </c>
      <c r="D11" s="106" t="s">
        <v>10</v>
      </c>
      <c r="E11" s="106" t="s">
        <v>10</v>
      </c>
      <c r="F11" s="106" t="s">
        <v>10</v>
      </c>
      <c r="G11" s="106" t="s">
        <v>10</v>
      </c>
      <c r="H11" s="106" t="s">
        <v>10</v>
      </c>
      <c r="I11" s="106" t="s">
        <v>10</v>
      </c>
      <c r="J11" s="106" t="s">
        <v>10</v>
      </c>
      <c r="K11" s="106" t="s">
        <v>10</v>
      </c>
      <c r="L11" s="106" t="s">
        <v>10</v>
      </c>
      <c r="M11" s="106" t="s">
        <v>10</v>
      </c>
      <c r="N11" s="106" t="s">
        <v>10</v>
      </c>
      <c r="O11" s="106" t="s">
        <v>10</v>
      </c>
      <c r="P11" s="106" t="s">
        <v>10</v>
      </c>
      <c r="Q11" s="106" t="s">
        <v>10</v>
      </c>
      <c r="R11" s="106" t="s">
        <v>10</v>
      </c>
      <c r="S11" s="106" t="s">
        <v>10</v>
      </c>
      <c r="T11" s="106" t="s">
        <v>10</v>
      </c>
      <c r="U11" s="106" t="s">
        <v>10</v>
      </c>
      <c r="V11" s="106" t="s">
        <v>10</v>
      </c>
      <c r="W11" s="106" t="s">
        <v>10</v>
      </c>
      <c r="X11" s="106" t="s">
        <v>10</v>
      </c>
      <c r="Y11" s="106" t="s">
        <v>10</v>
      </c>
      <c r="Z11" s="106" t="s">
        <v>10</v>
      </c>
      <c r="AA11" s="106" t="s">
        <v>10</v>
      </c>
      <c r="AB11" s="106" t="s">
        <v>10</v>
      </c>
      <c r="AC11" s="106" t="s">
        <v>10</v>
      </c>
      <c r="AD11" s="106" t="s">
        <v>10</v>
      </c>
      <c r="AE11" s="106" t="s">
        <v>10</v>
      </c>
      <c r="AF11" s="106" t="s">
        <v>10</v>
      </c>
      <c r="AG11" s="281" t="s">
        <v>72</v>
      </c>
    </row>
  </sheetData>
  <conditionalFormatting sqref="A6">
    <cfRule type="containsText" text="NIZM UP" operator="containsText" priority="2569" dxfId="175">
      <formula>NOT(ISERROR(SEARCH("NIZM UP",#REF!)))</formula>
    </cfRule>
    <cfRule type="containsText" text="MUPR DN" operator="containsText" priority="2570" dxfId="176">
      <formula>NOT(ISERROR(SEARCH("MUPR DN",#REF!)))</formula>
    </cfRule>
    <cfRule type="containsText" text="SVVR DN" operator="containsText" priority="2571" dxfId="177">
      <formula>NOT(ISERROR(SEARCH("SVVR DN",#REF!)))</formula>
    </cfRule>
  </conditionalFormatting>
  <conditionalFormatting sqref="B11:AG11">
    <cfRule type="containsText" text="MKPD" operator="containsText" priority="2601" dxfId="178">
      <formula>NOT(ISERROR(SEARCH("MKPD",#REF!)))</formula>
    </cfRule>
    <cfRule type="containsText" text="VND" operator="containsText" priority="2595" dxfId="179">
      <formula>NOT(ISERROR(SEARCH("VND",#REF!)))</formula>
    </cfRule>
    <cfRule type="containsText" text="MKPR 3RD" operator="containsText" priority="2602" dxfId="180">
      <formula>NOT(ISERROR(SEARCH("MKPR 3RD",#REF!)))</formula>
    </cfRule>
  </conditionalFormatting>
  <conditionalFormatting sqref="AH11:BY11">
    <cfRule type="containsText" text="VND" operator="containsText" priority="2599" dxfId="181">
      <formula>NOT(ISERROR(SEARCH("VND",#REF!)))</formula>
    </cfRule>
    <cfRule type="containsText" text="MKPD" operator="containsText" priority="2603" dxfId="182">
      <formula>NOT(ISERROR(SEARCH("MKPD",#REF!)))</formula>
    </cfRule>
    <cfRule type="containsText" text="MKPR 3RD" operator="containsText" priority="2600" dxfId="183">
      <formula>NOT(ISERROR(SEARCH("MKPR 3RD",#REF!)))</formula>
    </cfRule>
  </conditionalFormatting>
  <conditionalFormatting sqref="B6:AG6">
    <cfRule type="containsText" text="MKPD" operator="containsText" priority="51" dxfId="184">
      <formula>NOT(ISERROR(SEARCH("MKPD",#REF!)))</formula>
    </cfRule>
    <cfRule type="containsText" text="MKPR 3RD" operator="containsText" priority="52" dxfId="185">
      <formula>NOT(ISERROR(SEARCH("MKPR 3RD",#REF!)))</formula>
    </cfRule>
    <cfRule type="containsText" text="VND" operator="containsText" priority="50" dxfId="186">
      <formula>NOT(ISERROR(SEARCH("VND",#REF!)))</formula>
    </cfRule>
  </conditionalFormatting>
  <conditionalFormatting sqref="AH6:CG6">
    <cfRule type="containsText" text="SVVR DN" operator="containsText" priority="2581" dxfId="187">
      <formula>NOT(ISERROR(SEARCH("SVVR DN",#REF!)))</formula>
    </cfRule>
    <cfRule type="containsText" text="MUPR DN" operator="containsText" priority="2580" dxfId="188">
      <formula>NOT(ISERROR(SEARCH("MUPR DN",#REF!)))</formula>
    </cfRule>
    <cfRule type="containsText" text="NIZM UP" operator="containsText" priority="2579" dxfId="189">
      <formula>NOT(ISERROR(SEARCH("NIZM UP",#REF!)))</formula>
    </cfRule>
  </conditionalFormatting>
  <conditionalFormatting sqref="T1:U1">
    <cfRule type="cellIs" operator="equal" priority="478" dxfId="190">
      <formula>$A$1</formula>
    </cfRule>
  </conditionalFormatting>
  <conditionalFormatting sqref="Y1">
    <cfRule type="cellIs" operator="equal" priority="458" dxfId="191">
      <formula>$A$1</formula>
    </cfRule>
  </conditionalFormatting>
  <conditionalFormatting sqref="W1">
    <cfRule type="cellIs" operator="equal" priority="468" dxfId="192">
      <formula>$A$1</formula>
    </cfRule>
  </conditionalFormatting>
  <conditionalFormatting sqref="B1:S1 V1 X1 Z1 AE1 AG1">
    <cfRule type="cellIs" operator="equal" priority="2591" dxfId="193">
      <formula>$A$1</formula>
    </cfRule>
  </conditionalFormatting>
  <conditionalFormatting sqref="AB1">
    <cfRule type="cellIs" operator="equal" priority="423" dxfId="194">
      <formula>$A$1</formula>
    </cfRule>
  </conditionalFormatting>
  <conditionalFormatting sqref="AA1">
    <cfRule type="cellIs" operator="equal" priority="446" dxfId="195">
      <formula>$A$1</formula>
    </cfRule>
  </conditionalFormatting>
  <conditionalFormatting sqref="A11">
    <cfRule type="containsText" text="NIZM UP" operator="containsText" priority="2596" dxfId="196">
      <formula>NOT(ISERROR(SEARCH("NIZM UP",#REF!)))</formula>
    </cfRule>
    <cfRule type="containsText" text="MUPR DN" operator="containsText" priority="2597" dxfId="197">
      <formula>NOT(ISERROR(SEARCH("MUPR DN",#REF!)))</formula>
    </cfRule>
    <cfRule type="containsText" text="SVVR DN" operator="containsText" priority="2598" dxfId="198">
      <formula>NOT(ISERROR(SEARCH("SVVR DN",#REF!)))</formula>
    </cfRule>
  </conditionalFormatting>
  <conditionalFormatting sqref="AC1">
    <cfRule type="cellIs" operator="equal" priority="436" dxfId="199">
      <formula>$A$1</formula>
    </cfRule>
  </conditionalFormatting>
  <conditionalFormatting sqref="AF1">
    <cfRule type="cellIs" operator="equal" priority="399" dxfId="200">
      <formula>$A$1</formula>
    </cfRule>
  </conditionalFormatting>
  <conditionalFormatting sqref="AD1">
    <cfRule type="cellIs" operator="equal" priority="411" dxfId="201">
      <formula>$A$1</formula>
    </cfRule>
  </conditionalFormatting>
  <pageMargins left="0.354166666666667" right="0.156944444444444" top="0.314583333333333" bottom="0.314583333333333" header="0.156944444444444" footer="0.156944444444444"/>
  <pageSetup paperSize="9" fitToWidth="0" orientation="landscape"/>
  <headerFooter>
    <oddFooter>&amp;CPage &amp;P of &amp;N&amp;R&amp;12&amp;B07WD017_27082024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ED7265"/>
    <pageSetUpPr fitToPage="1"/>
  </sheetPr>
  <dimension ref="A1:EO109"/>
  <sheetViews>
    <sheetView workbookViewId="0" topLeftCell="A51" zoomScale="80">
      <selection activeCell="C60" sqref="C60"/>
    </sheetView>
  </sheetViews>
  <sheetFormatPr defaultRowHeight="14.4" defaultColWidth="9"/>
  <cols>
    <col min="1" max="1" customWidth="1" width="13.285156" style="282"/>
    <col min="2" max="2" customWidth="1" width="12.5703125" style="283"/>
    <col min="3" max="4" customWidth="1" width="12.5703125" style="284"/>
    <col min="5" max="12" customWidth="1" width="12.8515625" style="285"/>
    <col min="13" max="18" customWidth="1" width="11.0" style="285"/>
    <col min="19" max="19" customWidth="0" width="9.136719" style="285"/>
    <col min="20" max="20" customWidth="0" width="12.886719" style="285"/>
    <col min="21" max="21" customWidth="0" width="9.136719" style="285"/>
    <col min="22" max="22" customWidth="0" width="12.886719" style="285"/>
    <col min="23" max="16384" customWidth="0" width="9.136719" style="285"/>
  </cols>
  <sheetData>
    <row r="1" spans="8:8" s="185" ht="41.25" customFormat="1" customHeight="1">
      <c r="A1" s="286" t="s">
        <v>73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DV1" s="185" t="e">
        <f>#REF!</f>
        <v>#REF!</v>
      </c>
      <c r="DW1" s="185" t="e">
        <f>#REF!</f>
        <v>#REF!</v>
      </c>
    </row>
    <row r="2" spans="8:8" s="185" ht="41.25" customFormat="1" customHeight="1">
      <c r="A2" s="288" t="s">
        <v>12</v>
      </c>
      <c r="B2" s="289" t="s">
        <v>74</v>
      </c>
      <c r="C2" s="290"/>
      <c r="D2" s="290"/>
      <c r="E2" s="290"/>
      <c r="F2" s="290"/>
      <c r="G2" s="290"/>
      <c r="H2" s="290"/>
      <c r="I2" s="290"/>
      <c r="J2" s="289" t="s">
        <v>75</v>
      </c>
      <c r="K2" s="290"/>
      <c r="L2" s="290"/>
      <c r="M2" s="290"/>
      <c r="N2" s="290"/>
      <c r="O2" s="290"/>
      <c r="P2" s="290"/>
      <c r="Q2" s="290"/>
      <c r="R2" s="290"/>
    </row>
    <row r="3" spans="8:8" ht="18.0" customHeight="1">
      <c r="A3" s="288"/>
      <c r="B3" s="291" t="s">
        <v>76</v>
      </c>
      <c r="C3" s="291" t="s">
        <v>77</v>
      </c>
      <c r="D3" s="291" t="s">
        <v>78</v>
      </c>
      <c r="E3" s="291" t="s">
        <v>79</v>
      </c>
      <c r="F3" s="291" t="s">
        <v>80</v>
      </c>
      <c r="G3" s="292" t="s">
        <v>81</v>
      </c>
      <c r="H3" s="293" t="s">
        <v>82</v>
      </c>
      <c r="I3" s="293" t="s">
        <v>83</v>
      </c>
      <c r="J3" s="291" t="s">
        <v>84</v>
      </c>
      <c r="K3" s="291" t="s">
        <v>76</v>
      </c>
      <c r="L3" s="291" t="s">
        <v>77</v>
      </c>
      <c r="M3" s="291" t="s">
        <v>85</v>
      </c>
      <c r="N3" s="291" t="s">
        <v>86</v>
      </c>
      <c r="O3" s="291" t="s">
        <v>87</v>
      </c>
      <c r="P3" s="292" t="s">
        <v>81</v>
      </c>
      <c r="Q3" s="293" t="s">
        <v>82</v>
      </c>
      <c r="R3" s="293" t="s">
        <v>83</v>
      </c>
    </row>
    <row r="4" spans="8:8" ht="90.0" customHeight="1">
      <c r="A4" s="288"/>
      <c r="B4" s="294"/>
      <c r="C4" s="294"/>
      <c r="D4" s="294"/>
      <c r="E4" s="294"/>
      <c r="F4" s="294"/>
      <c r="G4" s="291"/>
      <c r="H4" s="295"/>
      <c r="I4" s="295"/>
      <c r="J4" s="294"/>
      <c r="K4" s="294"/>
      <c r="L4" s="294"/>
      <c r="M4" s="294"/>
      <c r="N4" s="294"/>
      <c r="O4" s="294"/>
      <c r="P4" s="291"/>
      <c r="Q4" s="295"/>
      <c r="R4" s="295"/>
    </row>
    <row r="5" spans="8:8">
      <c r="A5" s="296" t="s">
        <v>88</v>
      </c>
      <c r="B5" s="297">
        <v>0.00189814814814815</v>
      </c>
      <c r="C5" s="298">
        <v>4.62962962962963E-4</v>
      </c>
      <c r="D5" s="299">
        <f>B5+C5</f>
        <v>0.0023611111111111133</v>
      </c>
      <c r="E5" s="298"/>
      <c r="F5" s="298"/>
      <c r="G5" s="298"/>
      <c r="H5" s="298">
        <v>0.0025</v>
      </c>
      <c r="I5" s="298">
        <f>H5+C5</f>
        <v>0.0029629629629629632</v>
      </c>
      <c r="J5" s="300" t="s">
        <v>89</v>
      </c>
      <c r="K5" s="298">
        <v>0.00415509259259259</v>
      </c>
      <c r="L5" s="298">
        <v>4.62962962962963E-4</v>
      </c>
      <c r="M5" s="299">
        <f>K5+L5</f>
        <v>0.004618055555555552</v>
      </c>
      <c r="N5" s="301"/>
      <c r="O5" s="298"/>
      <c r="P5" s="298"/>
      <c r="Q5" s="298">
        <v>0.00546296296296296</v>
      </c>
      <c r="R5" s="298">
        <f>Q5+L5</f>
        <v>0.005925925925925923</v>
      </c>
    </row>
    <row r="6" spans="8:8">
      <c r="A6" s="296" t="s">
        <v>90</v>
      </c>
      <c r="B6" s="297">
        <v>0.00256944444444444</v>
      </c>
      <c r="C6" s="298">
        <v>4.62962962962963E-4</v>
      </c>
      <c r="D6" s="299">
        <f>B6+C6</f>
        <v>0.003032407407407403</v>
      </c>
      <c r="E6" s="298"/>
      <c r="F6" s="298"/>
      <c r="G6" s="298"/>
      <c r="H6" s="298">
        <v>0.00337962962962963</v>
      </c>
      <c r="I6" s="298">
        <f>H6+C6</f>
        <v>0.0038425925925925928</v>
      </c>
      <c r="J6" s="300" t="s">
        <v>91</v>
      </c>
      <c r="K6" s="298">
        <v>0.00256944444444444</v>
      </c>
      <c r="L6" s="298">
        <v>4.62962962962963E-4</v>
      </c>
      <c r="M6" s="299">
        <f>K6+L6</f>
        <v>0.003032407407407403</v>
      </c>
      <c r="N6" s="301"/>
      <c r="O6" s="298"/>
      <c r="P6" s="298"/>
      <c r="Q6" s="298">
        <v>0.00337962962962963</v>
      </c>
      <c r="R6" s="298">
        <f>Q6+L6</f>
        <v>0.0038425925925925928</v>
      </c>
      <c r="T6" s="299">
        <f>M5+M6+M7</f>
        <v>0.00954861111111111</v>
      </c>
      <c r="U6" s="302">
        <v>0.00104166666666667</v>
      </c>
      <c r="V6" s="302">
        <f>U6+T6</f>
        <v>0.01059027777777778</v>
      </c>
    </row>
    <row r="7" spans="8:8">
      <c r="A7" s="296" t="s">
        <v>92</v>
      </c>
      <c r="B7" s="298">
        <v>0.00537037037037037</v>
      </c>
      <c r="C7" s="298"/>
      <c r="D7" s="299">
        <f>B7+C7</f>
        <v>0.00537037037037037</v>
      </c>
      <c r="E7" s="298"/>
      <c r="F7" s="298"/>
      <c r="G7" s="298"/>
      <c r="H7" s="298">
        <v>0.00650462962962963</v>
      </c>
      <c r="I7" s="298">
        <f>H7+C7</f>
        <v>0.00650462962962963</v>
      </c>
      <c r="J7" s="300" t="s">
        <v>93</v>
      </c>
      <c r="K7" s="298">
        <v>0.00189814814814815</v>
      </c>
      <c r="L7" s="298"/>
      <c r="M7" s="299">
        <f>K7+L7</f>
        <v>0.00189814814814815</v>
      </c>
      <c r="N7" s="301"/>
      <c r="O7" s="298"/>
      <c r="P7" s="298"/>
      <c r="Q7" s="298">
        <v>0.0025</v>
      </c>
      <c r="R7" s="298">
        <f>Q7+L7</f>
        <v>0.0025</v>
      </c>
      <c r="T7" s="299">
        <v>0.0107638888888889</v>
      </c>
      <c r="U7" s="302">
        <v>0.00104166666666667</v>
      </c>
      <c r="V7" s="302">
        <f>U7+T7</f>
        <v>0.011805555555555569</v>
      </c>
    </row>
    <row r="8" spans="8:8">
      <c r="A8" s="296"/>
      <c r="B8" s="298"/>
      <c r="C8" s="298"/>
      <c r="D8" s="298"/>
      <c r="E8" s="298"/>
      <c r="F8" s="298"/>
      <c r="G8" s="298"/>
      <c r="H8" s="298"/>
      <c r="I8" s="298"/>
      <c r="J8" s="300"/>
      <c r="K8" s="298"/>
      <c r="L8" s="298"/>
      <c r="M8" s="298"/>
      <c r="N8" s="301"/>
      <c r="O8" s="298"/>
      <c r="P8" s="298"/>
      <c r="Q8" s="298"/>
      <c r="R8" s="298"/>
    </row>
    <row r="9" spans="8:8">
      <c r="A9" s="300" t="s">
        <v>94</v>
      </c>
      <c r="B9" s="298">
        <v>0.00206018518518519</v>
      </c>
      <c r="C9" s="298">
        <v>3.93518518518519E-4</v>
      </c>
      <c r="D9" s="298">
        <f t="shared" si="0" ref="D9:D45">B9+C9</f>
        <v>0.0024537037037037092</v>
      </c>
      <c r="E9" s="298">
        <f t="shared" si="1" ref="E9:E41">B9+C9</f>
        <v>0.0024537037037037092</v>
      </c>
      <c r="F9" s="298"/>
      <c r="G9" s="298">
        <v>0.00280092592592592</v>
      </c>
      <c r="H9" s="303">
        <v>0.00268518518518512</v>
      </c>
      <c r="I9" s="298">
        <v>0.00307870370370364</v>
      </c>
      <c r="J9" s="300" t="s">
        <v>95</v>
      </c>
      <c r="K9" s="298">
        <v>0.00101851851851852</v>
      </c>
      <c r="L9" s="298">
        <v>3.93518518518519E-4</v>
      </c>
      <c r="M9" s="298">
        <f t="shared" si="2" ref="M9:M45">K9+L9</f>
        <v>0.001412037037037039</v>
      </c>
      <c r="N9" s="301"/>
      <c r="O9" s="298">
        <f>K9+L9</f>
        <v>0.001412037037037039</v>
      </c>
      <c r="P9" s="298">
        <v>0.00165509259259259</v>
      </c>
      <c r="Q9" s="298">
        <v>0.00126157407407401</v>
      </c>
      <c r="R9" s="298">
        <v>0.00165509259259253</v>
      </c>
    </row>
    <row r="10" spans="8:8">
      <c r="A10" s="300" t="s">
        <v>96</v>
      </c>
      <c r="B10" s="298">
        <v>0.00148148148148148</v>
      </c>
      <c r="C10" s="298">
        <v>3.93518518518519E-4</v>
      </c>
      <c r="D10" s="298">
        <f t="shared" si="0"/>
        <v>0.001874999999999999</v>
      </c>
      <c r="E10" s="298">
        <f t="shared" si="1"/>
        <v>0.001874999999999999</v>
      </c>
      <c r="F10" s="298"/>
      <c r="G10" s="298">
        <v>0.00233796296296296</v>
      </c>
      <c r="H10" s="303">
        <v>0.00203703703703706</v>
      </c>
      <c r="I10" s="298">
        <v>0.00243055555555558</v>
      </c>
      <c r="J10" s="300" t="s">
        <v>97</v>
      </c>
      <c r="K10" s="298">
        <v>0.00141203703703704</v>
      </c>
      <c r="L10" s="298">
        <v>3.93518518518519E-4</v>
      </c>
      <c r="M10" s="298">
        <f t="shared" si="2"/>
        <v>0.001805555555555559</v>
      </c>
      <c r="N10" s="301"/>
      <c r="O10" s="298">
        <f>K10+L10</f>
        <v>0.001805555555555559</v>
      </c>
      <c r="P10" s="298">
        <v>0.00190972222222222</v>
      </c>
      <c r="Q10" s="298">
        <v>0.00159722222222203</v>
      </c>
      <c r="R10" s="298">
        <v>0.00199074074074055</v>
      </c>
      <c r="DJ10" s="304">
        <v>0.836805555555555</v>
      </c>
      <c r="DK10" s="304">
        <v>0.841666666666667</v>
      </c>
      <c r="DL10" s="304">
        <v>0.847222222222222</v>
      </c>
      <c r="EA10" s="304"/>
      <c r="EB10" s="304"/>
      <c r="EC10" s="304"/>
      <c r="ED10" s="304"/>
      <c r="EE10" s="304"/>
      <c r="EF10" s="304"/>
      <c r="EG10" s="304"/>
    </row>
    <row r="11" spans="8:8">
      <c r="A11" s="300" t="s">
        <v>98</v>
      </c>
      <c r="B11" s="298">
        <v>0.00135416666666667</v>
      </c>
      <c r="C11" s="298">
        <v>3.93518518518519E-4</v>
      </c>
      <c r="D11" s="298">
        <f t="shared" si="0"/>
        <v>0.001747685185185189</v>
      </c>
      <c r="E11" s="298">
        <f t="shared" si="1"/>
        <v>0.001747685185185189</v>
      </c>
      <c r="F11" s="298"/>
      <c r="G11" s="298">
        <v>0.00231481481481481</v>
      </c>
      <c r="H11" s="303">
        <v>0.00194444444444453</v>
      </c>
      <c r="I11" s="298">
        <v>0.00233796296296305</v>
      </c>
      <c r="J11" s="300" t="s">
        <v>99</v>
      </c>
      <c r="K11" s="298">
        <v>0.00194444444444444</v>
      </c>
      <c r="L11" s="298">
        <v>3.93518518518519E-4</v>
      </c>
      <c r="M11" s="298">
        <f t="shared" si="2"/>
        <v>0.0023379629629629592</v>
      </c>
      <c r="N11" s="301"/>
      <c r="O11" s="298">
        <v>0.00194444444444444</v>
      </c>
      <c r="P11" s="298">
        <v>0.00201388888888889</v>
      </c>
      <c r="Q11" s="298">
        <v>0.00164351851851796</v>
      </c>
      <c r="R11" s="298">
        <v>0.00203703703703648</v>
      </c>
    </row>
    <row r="12" spans="8:8">
      <c r="A12" s="300" t="s">
        <v>100</v>
      </c>
      <c r="B12" s="298">
        <v>0.00127314814814815</v>
      </c>
      <c r="C12" s="298">
        <v>3.93518518518519E-4</v>
      </c>
      <c r="D12" s="298">
        <f t="shared" si="0"/>
        <v>0.001666666666666669</v>
      </c>
      <c r="E12" s="298">
        <f t="shared" si="1"/>
        <v>0.001666666666666669</v>
      </c>
      <c r="F12" s="298"/>
      <c r="G12" s="298">
        <v>0.00199074074074064</v>
      </c>
      <c r="H12" s="303">
        <v>0.00149305555555557</v>
      </c>
      <c r="I12" s="298">
        <v>0.00188657407407409</v>
      </c>
      <c r="J12" s="300" t="s">
        <v>101</v>
      </c>
      <c r="K12" s="298">
        <v>0.00134259259259259</v>
      </c>
      <c r="L12" s="298">
        <v>3.93518518518519E-4</v>
      </c>
      <c r="M12" s="298">
        <f t="shared" si="2"/>
        <v>0.001736111111111109</v>
      </c>
      <c r="N12" s="298">
        <f t="shared" si="3" ref="N12:N45">K12+L12</f>
        <v>0.001736111111111109</v>
      </c>
      <c r="O12" s="301"/>
      <c r="P12" s="298">
        <v>0.00230324074074074</v>
      </c>
      <c r="Q12" s="298">
        <v>0.00150462962963005</v>
      </c>
      <c r="R12" s="298">
        <v>0.00189814814814857</v>
      </c>
    </row>
    <row r="13" spans="8:8">
      <c r="A13" s="300" t="s">
        <v>102</v>
      </c>
      <c r="B13" s="298">
        <v>0.001875</v>
      </c>
      <c r="C13" s="305">
        <v>4.51388888888889E-4</v>
      </c>
      <c r="D13" s="298">
        <f t="shared" si="0"/>
        <v>0.002326388888888889</v>
      </c>
      <c r="E13" s="298">
        <f t="shared" si="1"/>
        <v>0.002326388888888889</v>
      </c>
      <c r="F13" s="298"/>
      <c r="G13" s="298">
        <v>0.00280092592592592</v>
      </c>
      <c r="H13" s="303">
        <v>0.00250000000000006</v>
      </c>
      <c r="I13" s="298">
        <v>0.00295138888888895</v>
      </c>
      <c r="J13" s="300" t="s">
        <v>103</v>
      </c>
      <c r="K13" s="298">
        <v>0.00190972222222222</v>
      </c>
      <c r="L13" s="305">
        <v>4.51388888888889E-4</v>
      </c>
      <c r="M13" s="298">
        <f t="shared" si="2"/>
        <v>0.002361111111111109</v>
      </c>
      <c r="N13" s="298">
        <f t="shared" si="3"/>
        <v>0.002361111111111109</v>
      </c>
      <c r="O13" s="301"/>
      <c r="P13" s="298">
        <v>0.00277777777777778</v>
      </c>
      <c r="Q13" s="298">
        <v>0.00223379629629605</v>
      </c>
      <c r="R13" s="298">
        <v>0.00268518518518494</v>
      </c>
    </row>
    <row r="14" spans="8:8">
      <c r="A14" s="300" t="s">
        <v>104</v>
      </c>
      <c r="B14" s="298">
        <v>0.00164351851851852</v>
      </c>
      <c r="C14" s="298">
        <v>3.93518518518519E-4</v>
      </c>
      <c r="D14" s="298">
        <f t="shared" si="0"/>
        <v>0.002037037037037039</v>
      </c>
      <c r="E14" s="298">
        <f t="shared" si="1"/>
        <v>0.002037037037037039</v>
      </c>
      <c r="F14" s="298"/>
      <c r="G14" s="298">
        <v>0.00246527777777779</v>
      </c>
      <c r="H14" s="303">
        <v>0.00249999999999995</v>
      </c>
      <c r="I14" s="298">
        <v>0.00289351851851847</v>
      </c>
      <c r="J14" s="300" t="s">
        <v>105</v>
      </c>
      <c r="K14" s="298">
        <v>0.00148148148148148</v>
      </c>
      <c r="L14" s="298">
        <v>3.93518518518519E-4</v>
      </c>
      <c r="M14" s="298">
        <f t="shared" si="2"/>
        <v>0.001874999999999999</v>
      </c>
      <c r="N14" s="298">
        <f t="shared" si="3"/>
        <v>0.001874999999999999</v>
      </c>
      <c r="O14" s="301"/>
      <c r="P14" s="298">
        <v>0.00237268518518518</v>
      </c>
      <c r="Q14" s="298">
        <v>0.00162037037036999</v>
      </c>
      <c r="R14" s="298">
        <v>0.00201388888888851</v>
      </c>
    </row>
    <row r="15" spans="8:8">
      <c r="A15" s="300" t="s">
        <v>106</v>
      </c>
      <c r="B15" s="298">
        <v>0.00101851851851852</v>
      </c>
      <c r="C15" s="305">
        <v>4.51388888888889E-4</v>
      </c>
      <c r="D15" s="298">
        <f t="shared" si="0"/>
        <v>0.001469907407407409</v>
      </c>
      <c r="E15" s="298">
        <f t="shared" si="1"/>
        <v>0.001469907407407409</v>
      </c>
      <c r="F15" s="298"/>
      <c r="G15" s="298">
        <v>0.00189814814814815</v>
      </c>
      <c r="H15" s="303">
        <v>0.00123842592592593</v>
      </c>
      <c r="I15" s="298">
        <v>0.00168981481481482</v>
      </c>
      <c r="J15" s="300" t="s">
        <v>107</v>
      </c>
      <c r="K15" s="298">
        <v>9.83796296296296E-4</v>
      </c>
      <c r="L15" s="298">
        <v>3.93518518518519E-4</v>
      </c>
      <c r="M15" s="298">
        <f t="shared" si="2"/>
        <v>0.001377314814814815</v>
      </c>
      <c r="N15" s="298">
        <f t="shared" si="3"/>
        <v>0.001377314814814815</v>
      </c>
      <c r="O15" s="301"/>
      <c r="P15" s="298">
        <v>0.00162037037037037</v>
      </c>
      <c r="Q15" s="298">
        <v>0.00121527777777797</v>
      </c>
      <c r="R15" s="298">
        <v>0.00160879629629649</v>
      </c>
    </row>
    <row r="16" spans="8:8">
      <c r="A16" s="300" t="s">
        <v>108</v>
      </c>
      <c r="B16" s="298">
        <v>0.00158564814814815</v>
      </c>
      <c r="C16" s="298">
        <v>3.93518518518519E-4</v>
      </c>
      <c r="D16" s="298">
        <f t="shared" si="0"/>
        <v>0.001979166666666669</v>
      </c>
      <c r="E16" s="298">
        <f t="shared" si="1"/>
        <v>0.001979166666666669</v>
      </c>
      <c r="F16" s="298"/>
      <c r="G16" s="298">
        <v>0.00240740740740748</v>
      </c>
      <c r="H16" s="303">
        <v>0.00207175925925918</v>
      </c>
      <c r="I16" s="298">
        <v>0.0024652777777777</v>
      </c>
      <c r="J16" s="300" t="s">
        <v>109</v>
      </c>
      <c r="K16" s="298">
        <v>0.00107638888888889</v>
      </c>
      <c r="L16" s="298">
        <v>3.93518518518519E-4</v>
      </c>
      <c r="M16" s="298">
        <f t="shared" si="2"/>
        <v>0.001469907407407409</v>
      </c>
      <c r="N16" s="298">
        <f t="shared" si="3"/>
        <v>0.001469907407407409</v>
      </c>
      <c r="O16" s="301"/>
      <c r="P16" s="298">
        <v>0.0017824074074074</v>
      </c>
      <c r="Q16" s="298">
        <v>0.0011226851851861</v>
      </c>
      <c r="R16" s="298">
        <v>0.00151620370370462</v>
      </c>
    </row>
    <row r="17" spans="8:8">
      <c r="A17" s="300" t="s">
        <v>110</v>
      </c>
      <c r="B17" s="298">
        <v>0.00163194444444444</v>
      </c>
      <c r="C17" s="298">
        <v>3.93518518518519E-4</v>
      </c>
      <c r="D17" s="298">
        <f t="shared" si="0"/>
        <v>0.002025462962962959</v>
      </c>
      <c r="E17" s="298">
        <f t="shared" si="1"/>
        <v>0.002025462962962959</v>
      </c>
      <c r="F17" s="298"/>
      <c r="G17" s="298">
        <v>0.00244212962962949</v>
      </c>
      <c r="H17" s="303">
        <v>366.002071759259</v>
      </c>
      <c r="I17" s="298">
        <v>366.002465277778</v>
      </c>
      <c r="J17" s="300" t="s">
        <v>111</v>
      </c>
      <c r="K17" s="298">
        <v>0.00149305555555556</v>
      </c>
      <c r="L17" s="298">
        <v>3.93518518518519E-4</v>
      </c>
      <c r="M17" s="298">
        <f t="shared" si="2"/>
        <v>0.001886574074074079</v>
      </c>
      <c r="N17" s="298">
        <f t="shared" si="3"/>
        <v>0.001886574074074079</v>
      </c>
      <c r="O17" s="301"/>
      <c r="P17" s="298">
        <v>0.00223379629629629</v>
      </c>
      <c r="Q17" s="298">
        <v>0.00167824074074108</v>
      </c>
      <c r="R17" s="298">
        <v>0.0020717592592596</v>
      </c>
    </row>
    <row r="18" spans="8:8">
      <c r="A18" s="300" t="s">
        <v>112</v>
      </c>
      <c r="B18" s="298">
        <v>0.00171296296296296</v>
      </c>
      <c r="C18" s="298">
        <v>3.93518518518519E-4</v>
      </c>
      <c r="D18" s="298">
        <f t="shared" si="0"/>
        <v>0.002106481481481479</v>
      </c>
      <c r="E18" s="298">
        <f t="shared" si="1"/>
        <v>0.002106481481481479</v>
      </c>
      <c r="F18" s="298"/>
      <c r="G18" s="298">
        <v>0.00254629629629628</v>
      </c>
      <c r="H18" s="303">
        <v>0.00228009259259259</v>
      </c>
      <c r="I18" s="298">
        <v>0.00267361111111111</v>
      </c>
      <c r="J18" s="300" t="s">
        <v>113</v>
      </c>
      <c r="K18" s="298">
        <v>0.00136574074074074</v>
      </c>
      <c r="L18" s="298">
        <v>3.93518518518519E-4</v>
      </c>
      <c r="M18" s="298">
        <f t="shared" si="2"/>
        <v>0.001759259259259259</v>
      </c>
      <c r="N18" s="298">
        <f t="shared" si="3"/>
        <v>0.001759259259259259</v>
      </c>
      <c r="O18" s="301"/>
      <c r="P18" s="298">
        <v>0.00208333333333333</v>
      </c>
      <c r="Q18" s="298">
        <v>0.00156250000000002</v>
      </c>
      <c r="R18" s="298">
        <v>0.00195601851851854</v>
      </c>
    </row>
    <row r="19" spans="8:8">
      <c r="A19" s="306" t="s">
        <v>114</v>
      </c>
      <c r="B19" s="298">
        <v>0.00269675925925926</v>
      </c>
      <c r="C19" s="298">
        <v>3.93518518518519E-4</v>
      </c>
      <c r="D19" s="298">
        <f t="shared" si="0"/>
        <v>0.003090277777777779</v>
      </c>
      <c r="E19" s="298">
        <f t="shared" si="1"/>
        <v>0.003090277777777779</v>
      </c>
      <c r="F19" s="298"/>
      <c r="G19" s="298">
        <v>0.00371527777777776</v>
      </c>
      <c r="H19" s="303">
        <v>0.0044212962962963</v>
      </c>
      <c r="I19" s="298">
        <v>0.00481481481481482</v>
      </c>
      <c r="J19" s="300" t="s">
        <v>115</v>
      </c>
      <c r="K19" s="298">
        <v>0.00263888888888889</v>
      </c>
      <c r="L19" s="298">
        <v>3.93518518518519E-4</v>
      </c>
      <c r="M19" s="298">
        <f t="shared" si="2"/>
        <v>0.003032407407407409</v>
      </c>
      <c r="N19" s="298">
        <f t="shared" si="3"/>
        <v>0.003032407407407409</v>
      </c>
      <c r="O19" s="301"/>
      <c r="P19" s="298">
        <v>0.00362268518518518</v>
      </c>
      <c r="Q19" s="298">
        <v>0.00282407407407407</v>
      </c>
      <c r="R19" s="298">
        <v>0.00321759259259259</v>
      </c>
    </row>
    <row r="20" spans="8:8" s="307" ht="14.4" customFormat="1">
      <c r="A20" s="300" t="s">
        <v>116</v>
      </c>
      <c r="B20" s="298">
        <v>0.00133101851851852</v>
      </c>
      <c r="C20" s="298">
        <v>3.93518518518519E-4</v>
      </c>
      <c r="D20" s="298">
        <f t="shared" si="0"/>
        <v>0.001724537037037039</v>
      </c>
      <c r="E20" s="298">
        <f t="shared" si="1"/>
        <v>0.001724537037037039</v>
      </c>
      <c r="F20" s="298"/>
      <c r="G20" s="298">
        <v>0.00204861111111117</v>
      </c>
      <c r="H20" s="303">
        <v>0.00168981481481482</v>
      </c>
      <c r="I20" s="298">
        <v>0.00208333333333334</v>
      </c>
      <c r="J20" s="300" t="s">
        <v>117</v>
      </c>
      <c r="K20" s="298">
        <v>0.00153935185185185</v>
      </c>
      <c r="L20" s="298">
        <v>3.93518518518519E-4</v>
      </c>
      <c r="M20" s="298">
        <f t="shared" si="2"/>
        <v>0.0019328703703703689</v>
      </c>
      <c r="N20" s="298">
        <f t="shared" si="3"/>
        <v>0.0019328703703703689</v>
      </c>
      <c r="O20" s="301"/>
      <c r="P20" s="298">
        <v>0.00229166666666666</v>
      </c>
      <c r="Q20" s="298">
        <v>0.00167824074074074</v>
      </c>
      <c r="R20" s="298">
        <v>0.00207175925925926</v>
      </c>
      <c r="S20" s="308"/>
      <c r="T20" s="309">
        <v>0.00104166666666667</v>
      </c>
      <c r="U20" s="309">
        <v>0.0111111111111111</v>
      </c>
      <c r="V20" s="309"/>
      <c r="W20" s="309"/>
      <c r="X20" s="310"/>
    </row>
    <row r="21" spans="8:8">
      <c r="A21" s="311" t="s">
        <v>118</v>
      </c>
      <c r="B21" s="298">
        <v>0.00148148148148148</v>
      </c>
      <c r="C21" s="305">
        <v>4.51388888888889E-4</v>
      </c>
      <c r="D21" s="298">
        <f t="shared" si="0"/>
        <v>0.001932870370370369</v>
      </c>
      <c r="E21" s="298">
        <f t="shared" si="1"/>
        <v>0.001932870370370369</v>
      </c>
      <c r="F21" s="298"/>
      <c r="G21" s="298">
        <v>0.00224537037037039</v>
      </c>
      <c r="H21" s="303">
        <v>0.00199074074074074</v>
      </c>
      <c r="I21" s="298">
        <v>0.00244212962962963</v>
      </c>
      <c r="J21" s="300" t="s">
        <v>119</v>
      </c>
      <c r="K21" s="298">
        <v>0.00119212962962963</v>
      </c>
      <c r="L21" s="298">
        <v>3.93518518518519E-4</v>
      </c>
      <c r="M21" s="298">
        <f t="shared" si="2"/>
        <v>0.001585648148148149</v>
      </c>
      <c r="N21" s="298">
        <f t="shared" si="3"/>
        <v>0.001585648148148149</v>
      </c>
      <c r="O21" s="301"/>
      <c r="P21" s="298">
        <v>0.00143518518518519</v>
      </c>
      <c r="Q21" s="298">
        <v>0.00120370370370371</v>
      </c>
      <c r="R21" s="298">
        <v>0.00159722222222223</v>
      </c>
      <c r="T21" s="309">
        <v>0.0123263888888889</v>
      </c>
      <c r="U21" s="309"/>
      <c r="V21" s="309"/>
      <c r="W21" s="309"/>
    </row>
    <row r="22" spans="8:8">
      <c r="A22" s="300" t="s">
        <v>120</v>
      </c>
      <c r="B22" s="298">
        <v>0.00125</v>
      </c>
      <c r="C22" s="305">
        <v>4.51388888888889E-4</v>
      </c>
      <c r="D22" s="298">
        <f t="shared" si="0"/>
        <v>0.001701388888888889</v>
      </c>
      <c r="E22" s="298">
        <f t="shared" si="1"/>
        <v>0.001701388888888889</v>
      </c>
      <c r="F22" s="298"/>
      <c r="G22" s="298">
        <v>0.0019791666666666</v>
      </c>
      <c r="H22" s="303">
        <v>0.00172453703703704</v>
      </c>
      <c r="I22" s="298">
        <v>0.00217592592592593</v>
      </c>
      <c r="J22" s="300" t="s">
        <v>121</v>
      </c>
      <c r="K22" s="298">
        <v>0.00128472222222222</v>
      </c>
      <c r="L22" s="298">
        <v>3.93518518518519E-4</v>
      </c>
      <c r="M22" s="298">
        <f t="shared" si="2"/>
        <v>0.001678240740740739</v>
      </c>
      <c r="N22" s="298">
        <f t="shared" si="3"/>
        <v>0.001678240740740739</v>
      </c>
      <c r="O22" s="301"/>
      <c r="P22" s="298">
        <v>0.00201388888888889</v>
      </c>
      <c r="Q22" s="298">
        <v>0.00131944444444445</v>
      </c>
      <c r="R22" s="298">
        <v>0.00171296296296297</v>
      </c>
      <c r="T22" s="309">
        <v>0.0246527777777778</v>
      </c>
      <c r="U22" s="309"/>
      <c r="V22" s="309"/>
      <c r="W22" s="309"/>
    </row>
    <row r="23" spans="8:8">
      <c r="A23" s="300" t="s">
        <v>122</v>
      </c>
      <c r="B23" s="298">
        <v>0.00114583333333333</v>
      </c>
      <c r="C23" s="305">
        <v>4.51388888888889E-4</v>
      </c>
      <c r="D23" s="298">
        <f t="shared" si="0"/>
        <v>0.001597222222222219</v>
      </c>
      <c r="E23" s="298">
        <f t="shared" si="1"/>
        <v>0.001597222222222219</v>
      </c>
      <c r="F23" s="298"/>
      <c r="G23" s="298">
        <v>0.00190972222222222</v>
      </c>
      <c r="H23" s="303">
        <v>0.00135416666666666</v>
      </c>
      <c r="I23" s="298">
        <v>0.00180555555555555</v>
      </c>
      <c r="J23" s="300" t="s">
        <v>123</v>
      </c>
      <c r="K23" s="298">
        <v>0.00164351851851852</v>
      </c>
      <c r="L23" s="298">
        <v>3.93518518518519E-4</v>
      </c>
      <c r="M23" s="298">
        <f t="shared" si="2"/>
        <v>0.002037037037037039</v>
      </c>
      <c r="N23" s="298">
        <f t="shared" si="3"/>
        <v>0.002037037037037039</v>
      </c>
      <c r="O23" s="301"/>
      <c r="P23" s="298">
        <v>0.00239583333333333</v>
      </c>
      <c r="Q23" s="298">
        <v>0.00188657407407407</v>
      </c>
      <c r="R23" s="298">
        <v>0.00228009259259259</v>
      </c>
      <c r="T23" s="309"/>
      <c r="U23" s="307"/>
      <c r="V23" s="307"/>
      <c r="W23" s="307"/>
    </row>
    <row r="24" spans="8:8">
      <c r="A24" s="300" t="s">
        <v>124</v>
      </c>
      <c r="B24" s="298">
        <v>0.00133101851851852</v>
      </c>
      <c r="C24" s="305">
        <v>4.51388888888889E-4</v>
      </c>
      <c r="D24" s="298">
        <f t="shared" si="0"/>
        <v>0.001782407407407409</v>
      </c>
      <c r="E24" s="298">
        <f t="shared" si="1"/>
        <v>0.001782407407407409</v>
      </c>
      <c r="F24" s="298"/>
      <c r="G24" s="298">
        <v>0.00204861111111117</v>
      </c>
      <c r="H24" s="303">
        <v>0.00168981481481481</v>
      </c>
      <c r="I24" s="298">
        <v>0.0021412037037037</v>
      </c>
      <c r="J24" s="300" t="s">
        <v>125</v>
      </c>
      <c r="K24" s="298">
        <v>0.00101851851851852</v>
      </c>
      <c r="L24" s="298">
        <v>3.93518518518519E-4</v>
      </c>
      <c r="M24" s="298">
        <f t="shared" si="2"/>
        <v>0.001412037037037039</v>
      </c>
      <c r="N24" s="298">
        <f t="shared" si="3"/>
        <v>0.001412037037037039</v>
      </c>
      <c r="O24" s="301"/>
      <c r="P24" s="298">
        <v>0.00167824074074074</v>
      </c>
      <c r="Q24" s="298">
        <v>0.00112268518518523</v>
      </c>
      <c r="R24" s="298">
        <v>0.00151620370370375</v>
      </c>
      <c r="T24" s="309"/>
      <c r="U24" s="309"/>
      <c r="V24" s="307"/>
      <c r="W24" s="307"/>
    </row>
    <row r="25" spans="8:8">
      <c r="A25" s="300" t="s">
        <v>126</v>
      </c>
      <c r="B25" s="298">
        <v>0.00158564814814815</v>
      </c>
      <c r="C25" s="298">
        <v>3.93518518518519E-4</v>
      </c>
      <c r="D25" s="298">
        <f t="shared" si="0"/>
        <v>0.001979166666666669</v>
      </c>
      <c r="E25" s="298">
        <f t="shared" si="1"/>
        <v>0.001979166666666669</v>
      </c>
      <c r="F25" s="298"/>
      <c r="G25" s="298">
        <v>0.00243055555555555</v>
      </c>
      <c r="H25" s="303">
        <v>0.00224537037037037</v>
      </c>
      <c r="I25" s="298">
        <v>0.00263888888888889</v>
      </c>
      <c r="J25" s="300" t="s">
        <v>127</v>
      </c>
      <c r="K25" s="298">
        <v>0.00337962962962963</v>
      </c>
      <c r="L25" s="305">
        <v>4.51388888888889E-4</v>
      </c>
      <c r="M25" s="298">
        <f t="shared" si="2"/>
        <v>0.003831018518518519</v>
      </c>
      <c r="N25" s="298">
        <f t="shared" si="3"/>
        <v>0.003831018518518519</v>
      </c>
      <c r="O25" s="301"/>
      <c r="P25" s="298">
        <v>0.00399305555555555</v>
      </c>
      <c r="Q25" s="298">
        <v>0.0049189814814815</v>
      </c>
      <c r="R25" s="298">
        <v>0.00537037037037039</v>
      </c>
      <c r="T25" s="309"/>
      <c r="U25" s="309"/>
      <c r="V25" s="309"/>
      <c r="W25" s="307"/>
    </row>
    <row r="26" spans="8:8">
      <c r="A26" s="300" t="s">
        <v>128</v>
      </c>
      <c r="B26" s="298">
        <v>0.00125</v>
      </c>
      <c r="C26" s="298">
        <v>3.93518518518519E-4</v>
      </c>
      <c r="D26" s="298">
        <f t="shared" si="0"/>
        <v>0.001643518518518519</v>
      </c>
      <c r="E26" s="298">
        <f t="shared" si="1"/>
        <v>0.001643518518518519</v>
      </c>
      <c r="F26" s="298"/>
      <c r="G26" s="298">
        <v>0.00196759259259256</v>
      </c>
      <c r="H26" s="303">
        <v>0.0016087962962963</v>
      </c>
      <c r="I26" s="298">
        <v>0.00200231481481482</v>
      </c>
      <c r="J26" s="300" t="s">
        <v>129</v>
      </c>
      <c r="K26" s="298">
        <v>0.00174768518518519</v>
      </c>
      <c r="L26" s="298">
        <v>3.93518518518519E-4</v>
      </c>
      <c r="M26" s="298">
        <f t="shared" si="2"/>
        <v>0.002141203703703709</v>
      </c>
      <c r="N26" s="298">
        <f t="shared" si="3"/>
        <v>0.002141203703703709</v>
      </c>
      <c r="O26" s="301"/>
      <c r="P26" s="298">
        <v>0.00255787037037055</v>
      </c>
      <c r="Q26" s="298">
        <v>0.0024421296296296</v>
      </c>
      <c r="R26" s="298">
        <v>0.00283564814814812</v>
      </c>
      <c r="T26" s="309"/>
      <c r="U26" s="309"/>
      <c r="V26" s="309"/>
      <c r="W26" s="309"/>
    </row>
    <row r="27" spans="8:8">
      <c r="A27" s="300" t="s">
        <v>130</v>
      </c>
      <c r="B27" s="298">
        <v>0.00130787037037037</v>
      </c>
      <c r="C27" s="298">
        <v>3.93518518518519E-4</v>
      </c>
      <c r="D27" s="298">
        <f t="shared" si="0"/>
        <v>0.001701388888888889</v>
      </c>
      <c r="E27" s="298">
        <f t="shared" si="1"/>
        <v>0.001701388888888889</v>
      </c>
      <c r="F27" s="298"/>
      <c r="G27" s="298">
        <v>0.00199074074074075</v>
      </c>
      <c r="H27" s="303">
        <v>0.0015625</v>
      </c>
      <c r="I27" s="298">
        <v>0.00195601851851852</v>
      </c>
      <c r="J27" s="300" t="s">
        <v>131</v>
      </c>
      <c r="K27" s="298">
        <v>0.00135416666666667</v>
      </c>
      <c r="L27" s="298">
        <v>3.93518518518519E-4</v>
      </c>
      <c r="M27" s="298">
        <f t="shared" si="2"/>
        <v>0.001747685185185189</v>
      </c>
      <c r="N27" s="298">
        <f t="shared" si="3"/>
        <v>0.001747685185185189</v>
      </c>
      <c r="O27" s="301"/>
      <c r="P27" s="298">
        <v>0.00201388888888861</v>
      </c>
      <c r="Q27" s="298">
        <v>0.0015277777777778</v>
      </c>
      <c r="R27" s="298">
        <v>0.00192129629629632</v>
      </c>
    </row>
    <row r="28" spans="8:8">
      <c r="A28" s="300" t="s">
        <v>132</v>
      </c>
      <c r="B28" s="298">
        <v>0.00173611111111111</v>
      </c>
      <c r="C28" s="305">
        <v>4.51388888888889E-4</v>
      </c>
      <c r="D28" s="298">
        <f t="shared" si="0"/>
        <v>0.002187499999999999</v>
      </c>
      <c r="E28" s="298">
        <f t="shared" si="1"/>
        <v>0.002187499999999999</v>
      </c>
      <c r="F28" s="298"/>
      <c r="G28" s="298">
        <v>0.00251157407407406</v>
      </c>
      <c r="H28" s="303">
        <v>0.00252314814814815</v>
      </c>
      <c r="I28" s="298">
        <v>0.00297453703703704</v>
      </c>
      <c r="J28" s="300" t="s">
        <v>133</v>
      </c>
      <c r="K28" s="298">
        <v>0.00128472222222222</v>
      </c>
      <c r="L28" s="298">
        <v>3.93518518518519E-4</v>
      </c>
      <c r="M28" s="298">
        <f t="shared" si="2"/>
        <v>0.001678240740740739</v>
      </c>
      <c r="N28" s="298">
        <f t="shared" si="3"/>
        <v>0.001678240740740739</v>
      </c>
      <c r="O28" s="301"/>
      <c r="P28" s="298">
        <v>0.00200231481481457</v>
      </c>
      <c r="Q28" s="298">
        <v>0.0016203703703704</v>
      </c>
      <c r="R28" s="298">
        <v>0.00201388888888892</v>
      </c>
    </row>
    <row r="29" spans="8:8">
      <c r="A29" s="300" t="s">
        <v>134</v>
      </c>
      <c r="B29" s="298">
        <v>0.00298611111111111</v>
      </c>
      <c r="C29" s="298">
        <v>3.93518518518519E-4</v>
      </c>
      <c r="D29" s="298">
        <f t="shared" si="0"/>
        <v>0.003379629629629629</v>
      </c>
      <c r="E29" s="298">
        <f t="shared" si="1"/>
        <v>0.003379629629629629</v>
      </c>
      <c r="F29" s="298"/>
      <c r="G29" s="298">
        <v>0.00399305555555555</v>
      </c>
      <c r="H29" s="303">
        <v>0.00489583333333333</v>
      </c>
      <c r="I29" s="298">
        <v>0.00528935185185185</v>
      </c>
      <c r="J29" s="300" t="s">
        <v>135</v>
      </c>
      <c r="K29" s="298">
        <v>0.00148148148148148</v>
      </c>
      <c r="L29" s="305">
        <v>4.51388888888889E-4</v>
      </c>
      <c r="M29" s="298">
        <f t="shared" si="2"/>
        <v>0.001932870370370369</v>
      </c>
      <c r="N29" s="298">
        <f t="shared" si="3"/>
        <v>0.001932870370370369</v>
      </c>
      <c r="O29" s="301"/>
      <c r="P29" s="298">
        <v>0.00243055555555555</v>
      </c>
      <c r="Q29" s="298">
        <v>0.002199074074074</v>
      </c>
      <c r="R29" s="298">
        <v>0.00265046296296289</v>
      </c>
    </row>
    <row r="30" spans="8:8">
      <c r="A30" s="300" t="s">
        <v>136</v>
      </c>
      <c r="B30" s="298">
        <v>0.00103009259259259</v>
      </c>
      <c r="C30" s="298">
        <v>3.93518518518519E-4</v>
      </c>
      <c r="D30" s="298">
        <f t="shared" si="0"/>
        <v>0.001423611111111109</v>
      </c>
      <c r="E30" s="298">
        <f t="shared" si="1"/>
        <v>0.001423611111111109</v>
      </c>
      <c r="F30" s="298"/>
      <c r="G30" s="298">
        <v>0.00166666666666666</v>
      </c>
      <c r="H30" s="303">
        <v>0.00116898148148148</v>
      </c>
      <c r="I30" s="298">
        <v>0.0015625</v>
      </c>
      <c r="J30" s="300" t="s">
        <v>137</v>
      </c>
      <c r="K30" s="298">
        <v>0.00133101851851852</v>
      </c>
      <c r="L30" s="305">
        <v>4.51388888888889E-4</v>
      </c>
      <c r="M30" s="298">
        <f t="shared" si="2"/>
        <v>0.001782407407407409</v>
      </c>
      <c r="N30" s="298">
        <f t="shared" si="3"/>
        <v>0.001782407407407409</v>
      </c>
      <c r="O30" s="301"/>
      <c r="P30" s="298">
        <v>0.00208333333333262</v>
      </c>
      <c r="Q30" s="298">
        <v>0.0017013888888889</v>
      </c>
      <c r="R30" s="298">
        <v>0.00215277777777779</v>
      </c>
    </row>
    <row r="31" spans="8:8">
      <c r="A31" s="300" t="s">
        <v>138</v>
      </c>
      <c r="B31" s="298">
        <v>0.00175925925925926</v>
      </c>
      <c r="C31" s="298">
        <v>3.93518518518519E-4</v>
      </c>
      <c r="D31" s="298">
        <f t="shared" si="0"/>
        <v>0.002152777777777779</v>
      </c>
      <c r="E31" s="298">
        <f t="shared" si="1"/>
        <v>0.002152777777777779</v>
      </c>
      <c r="F31" s="298"/>
      <c r="G31" s="298">
        <v>0.00241898148148148</v>
      </c>
      <c r="H31" s="303">
        <v>0.0019212962962963</v>
      </c>
      <c r="I31" s="298">
        <v>0.00231481481481482</v>
      </c>
      <c r="J31" s="300" t="s">
        <v>139</v>
      </c>
      <c r="K31" s="298">
        <v>0.00111111111111111</v>
      </c>
      <c r="L31" s="305">
        <v>4.51388888888889E-4</v>
      </c>
      <c r="M31" s="298">
        <f t="shared" si="2"/>
        <v>0.001562499999999999</v>
      </c>
      <c r="N31" s="298">
        <f t="shared" si="3"/>
        <v>0.001562499999999999</v>
      </c>
      <c r="O31" s="301"/>
      <c r="P31" s="298">
        <v>0.00206018518518465</v>
      </c>
      <c r="Q31" s="298">
        <v>0.0013541666666667</v>
      </c>
      <c r="R31" s="298">
        <v>0.00180555555555559</v>
      </c>
    </row>
    <row r="32" spans="8:8">
      <c r="A32" s="300" t="s">
        <v>140</v>
      </c>
      <c r="B32" s="298">
        <v>0.00127314814814815</v>
      </c>
      <c r="C32" s="298">
        <v>3.93518518518519E-4</v>
      </c>
      <c r="D32" s="298">
        <f t="shared" si="0"/>
        <v>0.001666666666666669</v>
      </c>
      <c r="E32" s="298">
        <f t="shared" si="1"/>
        <v>0.001666666666666669</v>
      </c>
      <c r="F32" s="298"/>
      <c r="G32" s="298">
        <v>0.00202546296296296</v>
      </c>
      <c r="H32" s="303">
        <v>0.00138888888888889</v>
      </c>
      <c r="I32" s="298">
        <v>0.00178240740740741</v>
      </c>
      <c r="J32" s="300" t="s">
        <v>141</v>
      </c>
      <c r="K32" s="298">
        <v>0.00127314814814815</v>
      </c>
      <c r="L32" s="305">
        <v>4.51388888888889E-4</v>
      </c>
      <c r="M32" s="298">
        <f t="shared" si="2"/>
        <v>0.001724537037037039</v>
      </c>
      <c r="N32" s="298">
        <f t="shared" si="3"/>
        <v>0.001724537037037039</v>
      </c>
      <c r="O32" s="301"/>
      <c r="P32" s="298">
        <v>0.0019791666666666</v>
      </c>
      <c r="Q32" s="298">
        <v>0.0016666666666667</v>
      </c>
      <c r="R32" s="298">
        <v>0.00211805555555559</v>
      </c>
    </row>
    <row r="33" spans="8:8">
      <c r="A33" s="300" t="s">
        <v>142</v>
      </c>
      <c r="B33" s="298">
        <v>0.00119212962962963</v>
      </c>
      <c r="C33" s="298">
        <v>3.93518518518519E-4</v>
      </c>
      <c r="D33" s="298">
        <f t="shared" si="0"/>
        <v>0.001585648148148149</v>
      </c>
      <c r="E33" s="298">
        <f t="shared" si="1"/>
        <v>0.001585648148148149</v>
      </c>
      <c r="F33" s="298"/>
      <c r="G33" s="298">
        <v>0.00186342592592592</v>
      </c>
      <c r="H33" s="303">
        <v>0.00123842592592593</v>
      </c>
      <c r="I33" s="298">
        <v>0.00163194444444445</v>
      </c>
      <c r="J33" s="300" t="s">
        <v>143</v>
      </c>
      <c r="K33" s="298">
        <v>0.00145833333333333</v>
      </c>
      <c r="L33" s="298">
        <v>3.93518518518519E-4</v>
      </c>
      <c r="M33" s="298">
        <f t="shared" si="2"/>
        <v>0.0018518518518518489</v>
      </c>
      <c r="N33" s="298">
        <f t="shared" si="3"/>
        <v>0.0018518518518518489</v>
      </c>
      <c r="O33" s="301"/>
      <c r="P33" s="298">
        <v>0.00223379629629557</v>
      </c>
      <c r="Q33" s="298">
        <v>0.0020138888888889</v>
      </c>
      <c r="R33" s="298">
        <v>0.00240740740740742</v>
      </c>
    </row>
    <row r="34" spans="8:8">
      <c r="A34" s="300" t="s">
        <v>144</v>
      </c>
      <c r="B34" s="298">
        <v>0.00157407407407407</v>
      </c>
      <c r="C34" s="298">
        <v>3.93518518518519E-4</v>
      </c>
      <c r="D34" s="298">
        <f t="shared" si="0"/>
        <v>0.001967592592592589</v>
      </c>
      <c r="E34" s="298">
        <f t="shared" si="1"/>
        <v>0.001967592592592589</v>
      </c>
      <c r="F34" s="298"/>
      <c r="G34" s="298">
        <v>0.00233796296296296</v>
      </c>
      <c r="H34" s="303">
        <v>0.00166666666666666</v>
      </c>
      <c r="I34" s="298">
        <v>0.00206018518518518</v>
      </c>
      <c r="J34" s="300" t="s">
        <v>145</v>
      </c>
      <c r="K34" s="298">
        <v>0.00128472222222222</v>
      </c>
      <c r="L34" s="298">
        <v>3.93518518518519E-4</v>
      </c>
      <c r="M34" s="298">
        <f t="shared" si="2"/>
        <v>0.001678240740740739</v>
      </c>
      <c r="N34" s="298">
        <f t="shared" si="3"/>
        <v>0.001678240740740739</v>
      </c>
      <c r="O34" s="301"/>
      <c r="P34" s="298">
        <v>0.00195601851851864</v>
      </c>
      <c r="Q34" s="298">
        <v>0.0017592592592593</v>
      </c>
      <c r="R34" s="298">
        <v>0.00215277777777782</v>
      </c>
    </row>
    <row r="35" spans="8:8">
      <c r="A35" s="300" t="s">
        <v>146</v>
      </c>
      <c r="B35" s="298">
        <v>0.00255787037037037</v>
      </c>
      <c r="C35" s="298">
        <v>3.93518518518519E-4</v>
      </c>
      <c r="D35" s="298">
        <f t="shared" si="0"/>
        <v>0.0029513888888888892</v>
      </c>
      <c r="E35" s="298">
        <f t="shared" si="1"/>
        <v>0.0029513888888888892</v>
      </c>
      <c r="F35" s="298"/>
      <c r="G35" s="298">
        <v>0.00362268518518518</v>
      </c>
      <c r="H35" s="303">
        <v>0.00271990740740741</v>
      </c>
      <c r="I35" s="298">
        <v>0.00311342592592593</v>
      </c>
      <c r="J35" s="300" t="s">
        <v>147</v>
      </c>
      <c r="K35" s="298">
        <v>0.00268518518518518</v>
      </c>
      <c r="L35" s="298">
        <v>3.93518518518519E-4</v>
      </c>
      <c r="M35" s="298">
        <f t="shared" si="2"/>
        <v>0.0030787037037036994</v>
      </c>
      <c r="N35" s="298">
        <f t="shared" si="3"/>
        <v>0.0030787037037036994</v>
      </c>
      <c r="O35" s="301"/>
      <c r="P35" s="298">
        <v>0.0036342592592596</v>
      </c>
      <c r="Q35" s="298">
        <v>0.0043055555555556</v>
      </c>
      <c r="R35" s="298">
        <v>0.00469907407407412</v>
      </c>
    </row>
    <row r="36" spans="8:8">
      <c r="A36" s="300" t="s">
        <v>148</v>
      </c>
      <c r="B36" s="298">
        <v>0.00125</v>
      </c>
      <c r="C36" s="298">
        <v>3.93518518518519E-4</v>
      </c>
      <c r="D36" s="298">
        <f t="shared" si="0"/>
        <v>0.001643518518518519</v>
      </c>
      <c r="E36" s="298">
        <f t="shared" si="1"/>
        <v>0.001643518518518519</v>
      </c>
      <c r="F36" s="298"/>
      <c r="G36" s="298">
        <v>0.00208333333333333</v>
      </c>
      <c r="H36" s="303">
        <v>0.00150462962962963</v>
      </c>
      <c r="I36" s="298">
        <v>0.00189814814814815</v>
      </c>
      <c r="J36" s="300" t="s">
        <v>149</v>
      </c>
      <c r="K36" s="298">
        <v>0.00170138888888889</v>
      </c>
      <c r="L36" s="298">
        <v>3.93518518518519E-4</v>
      </c>
      <c r="M36" s="298">
        <f t="shared" si="2"/>
        <v>0.002094907407407409</v>
      </c>
      <c r="N36" s="298">
        <f t="shared" si="3"/>
        <v>0.002094907407407409</v>
      </c>
      <c r="O36" s="301"/>
      <c r="P36" s="298">
        <v>0.00248842592592565</v>
      </c>
      <c r="Q36" s="298">
        <v>0.0022337962962963</v>
      </c>
      <c r="R36" s="298">
        <v>0.00262731481481482</v>
      </c>
    </row>
    <row r="37" spans="8:8">
      <c r="A37" s="300" t="s">
        <v>150</v>
      </c>
      <c r="B37" s="298">
        <v>0.00148148148148148</v>
      </c>
      <c r="C37" s="298">
        <v>3.93518518518519E-4</v>
      </c>
      <c r="D37" s="298">
        <f t="shared" si="0"/>
        <v>0.001874999999999999</v>
      </c>
      <c r="E37" s="298">
        <f t="shared" si="1"/>
        <v>0.001874999999999999</v>
      </c>
      <c r="F37" s="298"/>
      <c r="G37" s="298">
        <v>0.00225694444444444</v>
      </c>
      <c r="H37" s="303">
        <v>0.00167824074074074</v>
      </c>
      <c r="I37" s="298">
        <v>0.00207175925925926</v>
      </c>
      <c r="J37" s="300" t="s">
        <v>151</v>
      </c>
      <c r="K37" s="298">
        <v>0.0016087962962963</v>
      </c>
      <c r="L37" s="298">
        <v>3.93518518518519E-4</v>
      </c>
      <c r="M37" s="298">
        <f t="shared" si="2"/>
        <v>0.002002314814814819</v>
      </c>
      <c r="N37" s="298">
        <f t="shared" si="3"/>
        <v>0.002002314814814819</v>
      </c>
      <c r="O37" s="301"/>
      <c r="P37" s="298">
        <v>0.0024074074074076</v>
      </c>
      <c r="Q37" s="298">
        <v>0.002025462962963</v>
      </c>
      <c r="R37" s="298">
        <v>0.00241898148148152</v>
      </c>
    </row>
    <row r="38" spans="8:8">
      <c r="A38" s="300" t="s">
        <v>152</v>
      </c>
      <c r="B38" s="298">
        <v>0.00111111111111111</v>
      </c>
      <c r="C38" s="298">
        <v>3.93518518518519E-4</v>
      </c>
      <c r="D38" s="298">
        <f t="shared" si="0"/>
        <v>0.001504629629629629</v>
      </c>
      <c r="E38" s="298">
        <f t="shared" si="1"/>
        <v>0.001504629629629629</v>
      </c>
      <c r="F38" s="298"/>
      <c r="G38" s="298">
        <v>0.00179398148148148</v>
      </c>
      <c r="H38" s="303">
        <v>0.00115740740740741</v>
      </c>
      <c r="I38" s="298">
        <v>0.00155092592592593</v>
      </c>
      <c r="J38" s="300" t="s">
        <v>153</v>
      </c>
      <c r="K38" s="298">
        <v>0.00157407407407407</v>
      </c>
      <c r="L38" s="305">
        <v>4.51388888888889E-4</v>
      </c>
      <c r="M38" s="298">
        <f t="shared" si="2"/>
        <v>0.002025462962962959</v>
      </c>
      <c r="N38" s="298">
        <f t="shared" si="3"/>
        <v>0.002025462962962959</v>
      </c>
      <c r="O38" s="301"/>
      <c r="P38" s="298">
        <v>0.00234953703703663</v>
      </c>
      <c r="Q38" s="298">
        <v>0.0020486111111111</v>
      </c>
      <c r="R38" s="298">
        <v>0.00249999999999999</v>
      </c>
    </row>
    <row r="39" spans="8:8">
      <c r="A39" s="300" t="s">
        <v>154</v>
      </c>
      <c r="B39" s="298">
        <v>0.00105324074074074</v>
      </c>
      <c r="C39" s="298">
        <v>3.93518518518519E-4</v>
      </c>
      <c r="D39" s="298">
        <f t="shared" si="0"/>
        <v>0.001446759259259259</v>
      </c>
      <c r="E39" s="298">
        <f t="shared" si="1"/>
        <v>0.001446759259259259</v>
      </c>
      <c r="F39" s="298"/>
      <c r="G39" s="298">
        <v>0.00162037037037037</v>
      </c>
      <c r="H39" s="303">
        <v>0.00123842592592593</v>
      </c>
      <c r="I39" s="298">
        <v>0.00163194444444445</v>
      </c>
      <c r="J39" s="300" t="s">
        <v>155</v>
      </c>
      <c r="K39" s="298">
        <v>0.00104166666666667</v>
      </c>
      <c r="L39" s="298">
        <v>3.93518518518519E-4</v>
      </c>
      <c r="M39" s="298">
        <f t="shared" si="2"/>
        <v>0.0014351851851851889</v>
      </c>
      <c r="N39" s="298">
        <f t="shared" si="3"/>
        <v>0.0014351851851851889</v>
      </c>
      <c r="O39" s="301"/>
      <c r="P39" s="298">
        <v>0.00170138888888867</v>
      </c>
      <c r="Q39" s="298">
        <v>0.0012037037037037</v>
      </c>
      <c r="R39" s="298">
        <v>0.00159722222222222</v>
      </c>
    </row>
    <row r="40" spans="8:8">
      <c r="A40" s="300" t="s">
        <v>156</v>
      </c>
      <c r="B40" s="298">
        <v>0.00140046296296296</v>
      </c>
      <c r="C40" s="305">
        <v>4.51388888888889E-4</v>
      </c>
      <c r="D40" s="298">
        <f t="shared" si="0"/>
        <v>0.0018518518518518489</v>
      </c>
      <c r="E40" s="298">
        <f t="shared" si="1"/>
        <v>0.0018518518518518489</v>
      </c>
      <c r="F40" s="298"/>
      <c r="G40" s="298">
        <v>0.00225694444444444</v>
      </c>
      <c r="H40" s="303">
        <v>0.00164351851851852</v>
      </c>
      <c r="I40" s="298">
        <v>0.00209490740740741</v>
      </c>
      <c r="J40" s="300" t="s">
        <v>157</v>
      </c>
      <c r="K40" s="298">
        <v>0.00164351851851852</v>
      </c>
      <c r="L40" s="305">
        <v>4.51388888888889E-4</v>
      </c>
      <c r="M40" s="298">
        <f t="shared" si="2"/>
        <v>0.002094907407407409</v>
      </c>
      <c r="N40" s="298">
        <f t="shared" si="3"/>
        <v>0.002094907407407409</v>
      </c>
      <c r="O40" s="301"/>
      <c r="P40" s="298">
        <v>0.00243055555555556</v>
      </c>
      <c r="Q40" s="298">
        <v>0.0023958333333334</v>
      </c>
      <c r="R40" s="298">
        <v>0.00284722222222229</v>
      </c>
    </row>
    <row r="41" spans="8:8">
      <c r="A41" s="300" t="s">
        <v>158</v>
      </c>
      <c r="B41" s="298">
        <v>0.00189814814814815</v>
      </c>
      <c r="C41" s="298">
        <v>3.93518518518519E-4</v>
      </c>
      <c r="D41" s="298">
        <f t="shared" si="0"/>
        <v>0.0022916666666666693</v>
      </c>
      <c r="E41" s="298">
        <f t="shared" si="1"/>
        <v>0.0022916666666666693</v>
      </c>
      <c r="F41" s="298"/>
      <c r="G41" s="298">
        <v>0.00275462962962963</v>
      </c>
      <c r="H41" s="303">
        <v>0.00222222222222222</v>
      </c>
      <c r="I41" s="298">
        <v>0.00261574074074074</v>
      </c>
      <c r="J41" s="300" t="s">
        <v>159</v>
      </c>
      <c r="K41" s="298">
        <v>0.00165509259259259</v>
      </c>
      <c r="L41" s="298">
        <v>3.93518518518519E-4</v>
      </c>
      <c r="M41" s="298">
        <f t="shared" si="2"/>
        <v>0.002048611111111109</v>
      </c>
      <c r="N41" s="298">
        <f t="shared" si="3"/>
        <v>0.002048611111111109</v>
      </c>
      <c r="O41" s="301"/>
      <c r="P41" s="298">
        <v>0.00246527777777757</v>
      </c>
      <c r="Q41" s="298">
        <v>0.0022800925925926</v>
      </c>
      <c r="R41" s="298">
        <v>0.00267361111111112</v>
      </c>
    </row>
    <row r="42" spans="8:8">
      <c r="A42" s="300" t="s">
        <v>160</v>
      </c>
      <c r="B42" s="298">
        <v>0.00164351851851852</v>
      </c>
      <c r="C42" s="298">
        <v>3.93518518518519E-4</v>
      </c>
      <c r="D42" s="298">
        <f t="shared" si="0"/>
        <v>0.002037037037037039</v>
      </c>
      <c r="E42" s="298">
        <v>0.00164351851851852</v>
      </c>
      <c r="F42" s="298"/>
      <c r="G42" s="298">
        <v>0.00230324074074074</v>
      </c>
      <c r="H42" s="303">
        <v>0.00153935185185185</v>
      </c>
      <c r="I42" s="298">
        <v>0.00193287037037037</v>
      </c>
      <c r="J42" s="300" t="s">
        <v>161</v>
      </c>
      <c r="K42" s="298">
        <v>0.00155092592592593</v>
      </c>
      <c r="L42" s="298">
        <v>3.93518518518519E-4</v>
      </c>
      <c r="M42" s="298">
        <f t="shared" si="2"/>
        <v>0.001944444444444449</v>
      </c>
      <c r="N42" s="298">
        <f t="shared" si="3"/>
        <v>0.001944444444444449</v>
      </c>
      <c r="O42" s="301"/>
      <c r="P42" s="298">
        <v>0.00174768518518561</v>
      </c>
      <c r="Q42" s="298">
        <v>0.0016898148148148</v>
      </c>
      <c r="R42" s="298">
        <v>0.00208333333333332</v>
      </c>
    </row>
    <row r="43" spans="8:8">
      <c r="A43" s="300" t="s">
        <v>162</v>
      </c>
      <c r="B43" s="298">
        <v>0.00125</v>
      </c>
      <c r="C43" s="298">
        <v>3.93518518518519E-4</v>
      </c>
      <c r="D43" s="298">
        <f t="shared" si="0"/>
        <v>0.001643518518518519</v>
      </c>
      <c r="E43" s="312"/>
      <c r="F43" s="298">
        <f>B43+C43</f>
        <v>0.001643518518518519</v>
      </c>
      <c r="G43" s="298">
        <v>0.00172453703703703</v>
      </c>
      <c r="H43" s="303">
        <v>0.00167824074074074</v>
      </c>
      <c r="I43" s="298">
        <v>0.00207175925925926</v>
      </c>
      <c r="J43" s="300" t="s">
        <v>163</v>
      </c>
      <c r="K43" s="298">
        <v>0.00137731481481481</v>
      </c>
      <c r="L43" s="298">
        <v>3.93518518518519E-4</v>
      </c>
      <c r="M43" s="298">
        <f t="shared" si="2"/>
        <v>0.001770833333333329</v>
      </c>
      <c r="N43" s="298">
        <f t="shared" si="3"/>
        <v>0.001770833333333329</v>
      </c>
      <c r="O43" s="301"/>
      <c r="P43" s="298">
        <v>0.00288194444444452</v>
      </c>
      <c r="Q43" s="298">
        <v>0.001886574074074</v>
      </c>
      <c r="R43" s="298">
        <v>0.00228009259259252</v>
      </c>
    </row>
    <row r="44" spans="8:8">
      <c r="A44" s="300" t="s">
        <v>164</v>
      </c>
      <c r="B44" s="298">
        <v>0.00141203703703704</v>
      </c>
      <c r="C44" s="298">
        <v>3.93518518518519E-4</v>
      </c>
      <c r="D44" s="298">
        <f t="shared" si="0"/>
        <v>0.001805555555555559</v>
      </c>
      <c r="E44" s="312"/>
      <c r="F44" s="298">
        <f>B44+C44</f>
        <v>0.001805555555555559</v>
      </c>
      <c r="G44" s="298">
        <v>0.00190972222222222</v>
      </c>
      <c r="H44" s="303">
        <v>0.00166666666666667</v>
      </c>
      <c r="I44" s="298">
        <v>0.00206018518518519</v>
      </c>
      <c r="J44" s="300" t="s">
        <v>165</v>
      </c>
      <c r="K44" s="298">
        <v>0.00185185185185185</v>
      </c>
      <c r="L44" s="298">
        <v>3.93518518518519E-4</v>
      </c>
      <c r="M44" s="298">
        <f t="shared" si="2"/>
        <v>0.002245370370370369</v>
      </c>
      <c r="N44" s="298">
        <f t="shared" si="3"/>
        <v>0.002245370370370369</v>
      </c>
      <c r="O44" s="301"/>
      <c r="P44" s="298">
        <v>0.00284722222222263</v>
      </c>
      <c r="Q44" s="298">
        <v>0.0020023148148148</v>
      </c>
      <c r="R44" s="298">
        <v>0.00239583333333332</v>
      </c>
    </row>
    <row r="45" spans="8:8">
      <c r="A45" s="300" t="s">
        <v>166</v>
      </c>
      <c r="B45" s="298">
        <v>0.00118055555555556</v>
      </c>
      <c r="C45" s="298"/>
      <c r="D45" s="298">
        <f t="shared" si="0"/>
        <v>0.00118055555555556</v>
      </c>
      <c r="E45" s="312"/>
      <c r="F45" s="298">
        <f>B45+C45</f>
        <v>0.00118055555555556</v>
      </c>
      <c r="G45" s="298">
        <v>0.00165509259259259</v>
      </c>
      <c r="H45" s="303">
        <v>0.00142361111111111</v>
      </c>
      <c r="I45" s="298">
        <v>0.00142361111111111</v>
      </c>
      <c r="J45" s="300" t="s">
        <v>167</v>
      </c>
      <c r="K45" s="298">
        <v>0.00233796296296296</v>
      </c>
      <c r="L45" s="301"/>
      <c r="M45" s="298">
        <f t="shared" si="2"/>
        <v>0.00233796296296296</v>
      </c>
      <c r="N45" s="298">
        <f t="shared" si="3"/>
        <v>0.00233796296296296</v>
      </c>
      <c r="O45" s="301"/>
      <c r="P45" s="298">
        <v>0.00260416666666666</v>
      </c>
      <c r="Q45" s="298">
        <v>0.0028587962962963</v>
      </c>
      <c r="R45" s="298">
        <v>0.0028587962962963</v>
      </c>
    </row>
    <row r="46" spans="8:8" s="313" ht="24.0" customFormat="1" customHeight="1">
      <c r="B46" s="314">
        <f t="shared" si="4" ref="B46:G46">SUM(B9:B45)</f>
        <v>0.05680555555555556</v>
      </c>
      <c r="C46" s="314">
        <f t="shared" si="4"/>
        <v>0.014629629629629638</v>
      </c>
      <c r="D46" s="314">
        <f t="shared" si="4"/>
        <v>0.07143518518518521</v>
      </c>
      <c r="E46" s="314">
        <f t="shared" si="4"/>
        <v>0.06641203703703705</v>
      </c>
      <c r="F46" s="314">
        <f>SUM(F43:F45)</f>
        <v>0.004629629629629638</v>
      </c>
      <c r="G46" s="314">
        <f t="shared" si="4"/>
        <v>0.08513888888888863</v>
      </c>
      <c r="H46" s="315"/>
      <c r="I46" s="315">
        <v>366.087013888889</v>
      </c>
      <c r="J46" s="316"/>
      <c r="K46" s="314">
        <f t="shared" si="5" ref="K46:P46">SUM(K9:K45)</f>
        <v>0.058078703703703695</v>
      </c>
      <c r="L46" s="314">
        <f t="shared" si="5"/>
        <v>0.014629629629629637</v>
      </c>
      <c r="M46" s="314">
        <f t="shared" si="5"/>
        <v>0.07270833333333333</v>
      </c>
      <c r="N46" s="314">
        <f t="shared" si="5"/>
        <v>0.06715277777777777</v>
      </c>
      <c r="O46" s="314">
        <f t="shared" si="5"/>
        <v>0.005162037037037038</v>
      </c>
      <c r="P46" s="314">
        <f t="shared" si="5"/>
        <v>0.08505787037036837</v>
      </c>
      <c r="Q46" s="317"/>
      <c r="R46" s="317">
        <f>SUM(R9:R45)</f>
        <v>0.08623842592592662</v>
      </c>
    </row>
    <row r="47" spans="8:8" s="185" ht="14.4" customFormat="1">
      <c r="A47" s="318">
        <v>0.0138888888888889</v>
      </c>
      <c r="B47" s="283"/>
      <c r="E47" s="298">
        <f>E46+$A$47</f>
        <v>0.080300925925926</v>
      </c>
      <c r="M47" s="298">
        <f>M46+$A$47</f>
        <v>0.0865972222222222</v>
      </c>
      <c r="N47" s="298">
        <f>N46+$A$47</f>
        <v>0.08104166666666669</v>
      </c>
    </row>
    <row r="48" spans="8:8" s="185" ht="14.4" customFormat="1">
      <c r="B48" s="283"/>
    </row>
    <row r="49" spans="8:8" s="185" ht="14.4" customFormat="1">
      <c r="B49" s="283"/>
      <c r="K49" s="318">
        <v>0.0154976851851852</v>
      </c>
      <c r="L49" s="318">
        <f>K49+$A$47</f>
        <v>0.0293865740740741</v>
      </c>
      <c r="DI49" s="318">
        <v>0.90625</v>
      </c>
    </row>
    <row r="50" spans="8:8" s="185" ht="14.4" customFormat="1">
      <c r="B50" s="283"/>
    </row>
    <row r="51" spans="8:8" s="185" ht="14.4" customFormat="1">
      <c r="B51" s="283"/>
    </row>
    <row r="52" spans="8:8" s="185" ht="14.4" customFormat="1">
      <c r="B52" s="283"/>
    </row>
    <row r="53" spans="8:8" s="185" ht="14.4" customFormat="1">
      <c r="B53" s="283"/>
    </row>
    <row r="54" spans="8:8" s="185" ht="14.4" customFormat="1">
      <c r="B54" s="283"/>
    </row>
    <row r="55" spans="8:8" s="185" ht="14.4" customFormat="1">
      <c r="B55" s="283"/>
    </row>
    <row r="56" spans="8:8" s="185" ht="14.4" customFormat="1">
      <c r="B56" s="283"/>
    </row>
    <row r="57" spans="8:8" s="185" ht="14.4" customFormat="1">
      <c r="B57" s="283"/>
    </row>
    <row r="58" spans="8:8" s="185" ht="14.4" customFormat="1">
      <c r="B58" s="283"/>
    </row>
    <row r="59" spans="8:8" s="185" ht="15.3" customFormat="1">
      <c r="B59" s="283"/>
      <c r="C59" s="185" t="s">
        <v>182</v>
      </c>
    </row>
    <row r="60" spans="8:8" s="185" ht="18.05" customFormat="1">
      <c r="A60" s="271" t="s">
        <v>1</v>
      </c>
      <c r="B60" s="283"/>
      <c r="C60" s="185">
        <v>20.0</v>
      </c>
    </row>
    <row r="61" spans="8:8" s="185" ht="16.65" customFormat="1">
      <c r="A61" s="273"/>
      <c r="B61" s="283"/>
      <c r="C61" s="185">
        <f>(20*5)/18</f>
        <v>5.555555555555555</v>
      </c>
    </row>
    <row r="62" spans="8:8" s="185" ht="16.65" customFormat="1">
      <c r="A62" s="274" t="s">
        <v>176</v>
      </c>
      <c r="B62" s="283"/>
    </row>
    <row r="63" spans="8:8" s="185" ht="16.65" customFormat="1">
      <c r="A63" s="276" t="s">
        <v>177</v>
      </c>
      <c r="B63" s="283">
        <v>1422.22</v>
      </c>
      <c r="C63" s="185">
        <f>$B63/$C$61</f>
        <v>255.99960000000002</v>
      </c>
      <c r="D63" s="185" t="str">
        <f>TEXT(C63/86400,"hh:mm:ss")</f>
        <v>00:04:16</v>
      </c>
    </row>
    <row r="64" spans="8:8" s="185" ht="16.65" customFormat="1">
      <c r="A64" s="276" t="s">
        <v>178</v>
      </c>
      <c r="B64" s="283">
        <v>1317.75</v>
      </c>
      <c r="C64" s="185">
        <f>$B64/$C$61</f>
        <v>237.19500000000002</v>
      </c>
      <c r="D64" s="185" t="str">
        <f>TEXT(C64/86400,"hh:mm:ss")</f>
        <v>00:03:57</v>
      </c>
    </row>
    <row r="65" spans="8:8" s="185" ht="14.4" customFormat="1">
      <c r="A65" s="30" t="s">
        <v>8</v>
      </c>
      <c r="B65" s="283"/>
    </row>
    <row r="66" spans="8:8" s="185" ht="15.3" customFormat="1">
      <c r="A66" s="279" t="s">
        <v>9</v>
      </c>
      <c r="B66" s="283"/>
    </row>
    <row r="67" spans="8:8" s="185" ht="16.65" customFormat="1">
      <c r="A67" s="276" t="s">
        <v>178</v>
      </c>
      <c r="B67" s="283"/>
    </row>
    <row r="68" spans="8:8" s="185" ht="16.65" customFormat="1">
      <c r="A68" s="276" t="s">
        <v>177</v>
      </c>
      <c r="B68" s="283"/>
      <c r="D68" s="185" t="s">
        <v>180</v>
      </c>
    </row>
    <row r="69" spans="8:8" s="185" ht="16.65" customFormat="1">
      <c r="A69" s="274" t="s">
        <v>176</v>
      </c>
      <c r="B69" s="283"/>
      <c r="D69" s="185" t="s">
        <v>181</v>
      </c>
    </row>
    <row r="70" spans="8:8" s="185" ht="14.4" customFormat="1">
      <c r="A70" s="105" t="s">
        <v>8</v>
      </c>
      <c r="B70" s="283"/>
    </row>
    <row r="71" spans="8:8" s="185" ht="14.4" customFormat="1">
      <c r="B71" s="283"/>
    </row>
    <row r="72" spans="8:8" s="185" ht="14.4" customFormat="1">
      <c r="B72" s="283"/>
    </row>
    <row r="73" spans="8:8" s="185" ht="14.4" customFormat="1">
      <c r="B73" s="283"/>
    </row>
    <row r="74" spans="8:8" s="185" ht="14.4" customFormat="1">
      <c r="B74" s="283"/>
    </row>
    <row r="75" spans="8:8" s="185" ht="14.4" customFormat="1">
      <c r="B75" s="283"/>
    </row>
    <row r="76" spans="8:8" s="185" ht="14.4" customFormat="1">
      <c r="B76" s="283"/>
    </row>
    <row r="77" spans="8:8" s="185" ht="14.4" customFormat="1">
      <c r="B77" s="283"/>
    </row>
    <row r="78" spans="8:8" s="185" ht="14.4" customFormat="1">
      <c r="B78" s="283"/>
    </row>
    <row r="79" spans="8:8" s="185" ht="14.4" customFormat="1">
      <c r="B79" s="283"/>
    </row>
    <row r="80" spans="8:8" s="185" ht="14.4" customFormat="1">
      <c r="B80" s="283"/>
    </row>
    <row r="81" spans="8:8" s="185" ht="14.4" customFormat="1">
      <c r="B81" s="283"/>
    </row>
    <row r="82" spans="8:8" s="185" ht="14.4" customFormat="1">
      <c r="B82" s="283"/>
    </row>
    <row r="83" spans="8:8" s="185" ht="14.4" customFormat="1">
      <c r="B83" s="283"/>
    </row>
    <row r="84" spans="8:8" s="185" ht="14.4" customFormat="1">
      <c r="B84" s="283"/>
    </row>
    <row r="85" spans="8:8" s="185" ht="14.4" customFormat="1">
      <c r="B85" s="283"/>
    </row>
    <row r="86" spans="8:8" s="185" ht="14.4" customFormat="1">
      <c r="B86" s="283"/>
    </row>
    <row r="87" spans="8:8" s="185" ht="14.4" customFormat="1">
      <c r="B87" s="283"/>
    </row>
    <row r="88" spans="8:8" s="185" ht="14.4" customFormat="1">
      <c r="B88" s="283"/>
    </row>
    <row r="89" spans="8:8" s="185" ht="14.4" customFormat="1">
      <c r="B89" s="283"/>
    </row>
    <row r="90" spans="8:8" s="185" ht="14.4" customFormat="1">
      <c r="B90" s="283"/>
    </row>
    <row r="91" spans="8:8" s="185" ht="14.4" customFormat="1">
      <c r="B91" s="283"/>
    </row>
    <row r="92" spans="8:8" s="185" ht="14.4" customFormat="1">
      <c r="B92" s="283"/>
    </row>
    <row r="93" spans="8:8" s="185" ht="14.4" customFormat="1">
      <c r="B93" s="283"/>
    </row>
    <row r="94" spans="8:8" s="185" ht="14.4" customFormat="1">
      <c r="B94" s="283"/>
    </row>
    <row r="95" spans="8:8" s="185" ht="14.4" customFormat="1">
      <c r="B95" s="283"/>
    </row>
    <row r="96" spans="8:8" s="185" ht="14.4" customFormat="1">
      <c r="B96" s="283"/>
    </row>
    <row r="97" spans="8:8" s="185" ht="14.4" customFormat="1">
      <c r="B97" s="283"/>
    </row>
    <row r="98" spans="8:8" s="185" ht="14.4" customFormat="1">
      <c r="B98" s="283"/>
    </row>
    <row r="99" spans="8:8" s="185" ht="14.4" customFormat="1">
      <c r="B99" s="283"/>
    </row>
    <row r="100" spans="8:8" s="185" ht="14.4" customFormat="1">
      <c r="B100" s="283"/>
    </row>
    <row r="101" spans="8:8" s="185" ht="14.4" customFormat="1">
      <c r="B101" s="283"/>
    </row>
    <row r="102" spans="8:8" s="185" ht="14.4" customFormat="1">
      <c r="B102" s="283"/>
    </row>
    <row r="103" spans="8:8" s="185" ht="14.4" customFormat="1">
      <c r="B103" s="283"/>
    </row>
    <row r="104" spans="8:8" s="185" ht="14.4" customFormat="1">
      <c r="B104" s="283"/>
    </row>
    <row r="105" spans="8:8" s="185" ht="14.4" customFormat="1">
      <c r="B105" s="283"/>
    </row>
    <row r="106" spans="8:8" s="185" ht="14.4" customFormat="1">
      <c r="B106" s="283"/>
    </row>
    <row r="107" spans="8:8" s="185" ht="14.4" customFormat="1">
      <c r="B107" s="283"/>
    </row>
    <row r="108" spans="8:8" s="185" ht="14.4" customFormat="1">
      <c r="B108" s="283"/>
    </row>
    <row r="109" spans="8:8" s="185" ht="14.4" customFormat="1">
      <c r="B109" s="283"/>
    </row>
  </sheetData>
  <mergeCells count="21">
    <mergeCell ref="A1:O1"/>
    <mergeCell ref="J2:P2"/>
    <mergeCell ref="B2:I2"/>
    <mergeCell ref="A2:A4"/>
    <mergeCell ref="Q3:Q4"/>
    <mergeCell ref="R3:R4"/>
    <mergeCell ref="C3:C4"/>
    <mergeCell ref="B3:B4"/>
    <mergeCell ref="O3:O4"/>
    <mergeCell ref="P3:P4"/>
    <mergeCell ref="E3:E4"/>
    <mergeCell ref="D3:D4"/>
    <mergeCell ref="M3:M4"/>
    <mergeCell ref="N3:N4"/>
    <mergeCell ref="F3:F4"/>
    <mergeCell ref="L3:L4"/>
    <mergeCell ref="H3:H4"/>
    <mergeCell ref="G3:G4"/>
    <mergeCell ref="J3:J4"/>
    <mergeCell ref="I3:I4"/>
    <mergeCell ref="K3:K4"/>
  </mergeCells>
  <conditionalFormatting sqref="A70">
    <cfRule type="containsText" text="NIZM UP" operator="containsText" priority="32" dxfId="202">
      <formula>NOT(ISERROR(SEARCH("NIZM UP",#REF!)))</formula>
    </cfRule>
    <cfRule type="containsText" text="MUPR DN" operator="containsText" priority="28" dxfId="203">
      <formula>NOT(ISERROR(SEARCH("MUPR DN",#REF!)))</formula>
    </cfRule>
    <cfRule type="containsText" text="SVVR DN" operator="containsText" priority="31" dxfId="204">
      <formula>NOT(ISERROR(SEARCH("SVVR DN",#REF!)))</formula>
    </cfRule>
  </conditionalFormatting>
  <conditionalFormatting sqref="A65">
    <cfRule type="containsText" text="SVVR DN" operator="containsText" priority="30" dxfId="205">
      <formula>NOT(ISERROR(SEARCH("SVVR DN",#REF!)))</formula>
    </cfRule>
    <cfRule type="containsText" text="NIZM UP" operator="containsText" priority="33" dxfId="206">
      <formula>NOT(ISERROR(SEARCH("NIZM UP",#REF!)))</formula>
    </cfRule>
    <cfRule type="containsText" text="MUPR DN" operator="containsText" priority="29" dxfId="207">
      <formula>NOT(ISERROR(SEARCH("MUPR DN",#REF!)))</formula>
    </cfRule>
  </conditionalFormatting>
  <pageMargins left="0.68" right="0.17" top="0.26" bottom="0.18" header="0.26" footer="0.18"/>
  <pageSetup paperSize="9" scale="42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4CACC6"/>
    <pageSetUpPr fitToPage="1"/>
  </sheetPr>
  <dimension ref="A1:GN42"/>
  <sheetViews>
    <sheetView workbookViewId="0" zoomScale="85">
      <pane xSplit="1" ySplit="3" topLeftCell="B16" state="frozen" activePane="bottomRight"/>
      <selection pane="bottomRight" activeCell="K16" sqref="K16:K28"/>
    </sheetView>
  </sheetViews>
  <sheetFormatPr defaultRowHeight="13.8" defaultColWidth="9"/>
  <cols>
    <col min="1" max="1" customWidth="1" width="13.7109375" style="1"/>
    <col min="2" max="2" customWidth="1" width="11.425781" style="1"/>
    <col min="3" max="13" customWidth="1" width="11.425781" style="2"/>
    <col min="14" max="14" customWidth="1" width="11.425781" style="3"/>
    <col min="15" max="16" customWidth="0" width="9.136719" style="3"/>
    <col min="17" max="17" customWidth="0" width="12.886719" style="3"/>
    <col min="18" max="16384" customWidth="0" width="9.136719" style="3"/>
  </cols>
  <sheetData>
    <row r="1" spans="8:8" ht="18.9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8:8" s="7" ht="21.75" customFormat="1" customHeight="1">
      <c r="A2" s="8" t="s">
        <v>1</v>
      </c>
      <c r="B2" s="9"/>
      <c r="C2" s="10">
        <v>798.0</v>
      </c>
      <c r="D2" s="10">
        <v>798.0</v>
      </c>
      <c r="E2" s="10">
        <v>798.0</v>
      </c>
      <c r="F2" s="10">
        <v>798.0</v>
      </c>
      <c r="G2" s="10">
        <v>798.0</v>
      </c>
      <c r="H2" s="10">
        <v>798.0</v>
      </c>
      <c r="I2" s="10">
        <v>798.0</v>
      </c>
      <c r="J2" s="10">
        <v>798.0</v>
      </c>
      <c r="K2" s="10">
        <v>798.0</v>
      </c>
      <c r="L2" s="10">
        <v>798.0</v>
      </c>
      <c r="M2" s="10">
        <v>798.0</v>
      </c>
      <c r="N2" s="10">
        <v>798.0</v>
      </c>
    </row>
    <row r="3" spans="8:8" s="12" ht="15.0" customFormat="1" customHeight="1">
      <c r="A3" s="13"/>
      <c r="B3" s="14" t="s">
        <v>53</v>
      </c>
      <c r="C3" s="224" t="s">
        <v>53</v>
      </c>
      <c r="D3" s="224" t="s">
        <v>53</v>
      </c>
      <c r="E3" s="224" t="s">
        <v>53</v>
      </c>
      <c r="F3" s="224" t="s">
        <v>53</v>
      </c>
      <c r="G3" s="224" t="s">
        <v>53</v>
      </c>
      <c r="H3" s="224" t="s">
        <v>53</v>
      </c>
      <c r="I3" s="224" t="s">
        <v>53</v>
      </c>
      <c r="J3" s="224" t="s">
        <v>53</v>
      </c>
      <c r="K3" s="224" t="s">
        <v>53</v>
      </c>
      <c r="L3" s="224" t="s">
        <v>53</v>
      </c>
      <c r="M3" s="224" t="s">
        <v>53</v>
      </c>
      <c r="N3" s="224" t="s">
        <v>53</v>
      </c>
      <c r="O3" s="7"/>
    </row>
    <row r="4" spans="8:8" s="17" ht="15.0" customFormat="1" customHeight="1">
      <c r="A4" s="18" t="s">
        <v>3</v>
      </c>
      <c r="C4" s="19" t="s">
        <v>168</v>
      </c>
      <c r="D4" s="21">
        <v>0.333333333333333</v>
      </c>
      <c r="E4" s="21">
        <f>D4+'L-7 KEY NEW(JPVE)'!$T$22</f>
        <v>0.3579861111111108</v>
      </c>
      <c r="F4" s="21">
        <f>E4+'L-7 KEY NEW(JPVE)'!$T$22</f>
        <v>0.3826388888888888</v>
      </c>
      <c r="G4" s="21">
        <f>F4+'L-7 KEY NEW(JPVE)'!$T$22</f>
        <v>0.4072916666666668</v>
      </c>
      <c r="H4" s="21">
        <f>G4+'L-7 KEY NEW(JPVE)'!$T$22</f>
        <v>0.4319444444444448</v>
      </c>
      <c r="I4" s="21">
        <f>H4+'L-7 KEY NEW(JPVE)'!$T$22</f>
        <v>0.4565972222222228</v>
      </c>
      <c r="J4" s="21">
        <f>I4+'L-7 KEY NEW(JPVE)'!$T$22</f>
        <v>0.4812500000000008</v>
      </c>
      <c r="K4" s="21">
        <f>J4+'L-7 KEY NEW(JPVE)'!$T$22</f>
        <v>0.5059027777777788</v>
      </c>
      <c r="L4" s="21">
        <f>K4+'L-7 KEY NEW(JPVE)'!$T$22</f>
        <v>0.5305555555555568</v>
      </c>
      <c r="M4" s="21">
        <f>L4+'L-7 KEY NEW(JPVE)'!$T$22</f>
        <v>0.5552083333333349</v>
      </c>
      <c r="N4" s="21">
        <f>M4+'L-7 KEY NEW(JPVE)'!$T$22</f>
        <v>0.5798611111111127</v>
      </c>
      <c r="O4" s="7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</row>
    <row r="5" spans="8:8" ht="15.0" customHeight="1">
      <c r="A5" s="24" t="s">
        <v>5</v>
      </c>
      <c r="C5" s="19"/>
      <c r="D5" s="25">
        <f>D4+'L-7 KEY NEW(JPVE)'!$D5</f>
        <v>0.3356944444444441</v>
      </c>
      <c r="E5" s="25">
        <f>E4+'L-7 KEY NEW(JPVE)'!$D5</f>
        <v>0.3603472222222221</v>
      </c>
      <c r="F5" s="25">
        <f>F4+'L-7 KEY NEW(JPVE)'!$D5</f>
        <v>0.38500000000000006</v>
      </c>
      <c r="G5" s="25">
        <f>G4+'L-7 KEY NEW(JPVE)'!$D5</f>
        <v>0.4096527777777781</v>
      </c>
      <c r="H5" s="25">
        <f>H4+'L-7 KEY NEW(JPVE)'!$D5</f>
        <v>0.4343055555555561</v>
      </c>
      <c r="I5" s="25">
        <f>I4+'L-7 KEY NEW(JPVE)'!$D5</f>
        <v>0.4589583333333341</v>
      </c>
      <c r="J5" s="25">
        <f>J4+'L-7 KEY NEW(JPVE)'!$D5</f>
        <v>0.4836111111111121</v>
      </c>
      <c r="K5" s="25">
        <f>K4+'L-7 KEY NEW(JPVE)'!$D5</f>
        <v>0.5082638888888902</v>
      </c>
      <c r="L5" s="25">
        <f>L4+'L-7 KEY NEW(JPVE)'!$D5</f>
        <v>0.5329166666666681</v>
      </c>
      <c r="M5" s="25">
        <f>M4+'L-7 KEY NEW(JPVE)'!$D5</f>
        <v>0.5575694444444461</v>
      </c>
      <c r="N5" s="26">
        <f>N4+'L-7 KEY NEW(JPVE)'!$D5</f>
        <v>0.5822222222222242</v>
      </c>
      <c r="O5" s="7"/>
    </row>
    <row r="6" spans="8:8" ht="15.0" customHeight="1">
      <c r="A6" s="24" t="s">
        <v>6</v>
      </c>
      <c r="C6" s="19"/>
      <c r="D6" s="27">
        <f>D5+'L-7 KEY NEW(JPVE)'!$D6</f>
        <v>0.3387268518518514</v>
      </c>
      <c r="E6" s="27">
        <f>E5+'L-7 KEY NEW(JPVE)'!$D6</f>
        <v>0.3633796296296294</v>
      </c>
      <c r="F6" s="27">
        <f>F5+'L-7 KEY NEW(JPVE)'!$D6</f>
        <v>0.3880324074074074</v>
      </c>
      <c r="G6" s="27">
        <f>G5+'L-7 KEY NEW(JPVE)'!$D6</f>
        <v>0.4126851851851854</v>
      </c>
      <c r="H6" s="27">
        <f>H5+'L-7 KEY NEW(JPVE)'!$D6</f>
        <v>0.4373379629629634</v>
      </c>
      <c r="I6" s="27">
        <f>I5+'L-7 KEY NEW(JPVE)'!$D6</f>
        <v>0.4619907407407414</v>
      </c>
      <c r="J6" s="27">
        <f>J5+'L-7 KEY NEW(JPVE)'!$D6</f>
        <v>0.4866435185185194</v>
      </c>
      <c r="K6" s="27">
        <f>K5+'L-7 KEY NEW(JPVE)'!$D6</f>
        <v>0.5112962962962974</v>
      </c>
      <c r="L6" s="27">
        <f>L5+'L-7 KEY NEW(JPVE)'!$D6</f>
        <v>0.5359490740740754</v>
      </c>
      <c r="M6" s="27">
        <f>M5+'L-7 KEY NEW(JPVE)'!$D6</f>
        <v>0.5606018518518534</v>
      </c>
      <c r="N6" s="26">
        <f>N5+'L-7 KEY NEW(JPVE)'!$D6</f>
        <v>0.5852546296296314</v>
      </c>
      <c r="O6" s="7"/>
      <c r="Q6" s="21"/>
    </row>
    <row r="7" spans="8:8" s="28" ht="15.0" customFormat="1" customHeight="1">
      <c r="A7" s="18" t="s">
        <v>7</v>
      </c>
      <c r="C7" s="19"/>
      <c r="D7" s="27">
        <f>D6+'L-7 KEY NEW(JPVE)'!$D7</f>
        <v>0.34409722222222133</v>
      </c>
      <c r="E7" s="27">
        <f>E6+'L-7 KEY NEW(JPVE)'!$D7</f>
        <v>0.36874999999999936</v>
      </c>
      <c r="F7" s="27">
        <f>F6+'L-7 KEY NEW(JPVE)'!$D7</f>
        <v>0.3934027777777774</v>
      </c>
      <c r="G7" s="27">
        <f>G6+'L-7 KEY NEW(JPVE)'!$D7</f>
        <v>0.41805555555555535</v>
      </c>
      <c r="H7" s="27">
        <f>H6+'L-7 KEY NEW(JPVE)'!$D7</f>
        <v>0.44270833333333337</v>
      </c>
      <c r="I7" s="27">
        <f>I6+'L-7 KEY NEW(JPVE)'!$D7</f>
        <v>0.46736111111111134</v>
      </c>
      <c r="J7" s="27">
        <f>J6+'L-7 KEY NEW(JPVE)'!$D7</f>
        <v>0.49201388888888936</v>
      </c>
      <c r="K7" s="27">
        <f>K6+'L-7 KEY NEW(JPVE)'!$D7</f>
        <v>0.5166666666666674</v>
      </c>
      <c r="L7" s="27">
        <f>L6+'L-7 KEY NEW(JPVE)'!$D7</f>
        <v>0.5413194444444454</v>
      </c>
      <c r="M7" s="27">
        <f>M6+'L-7 KEY NEW(JPVE)'!$D7</f>
        <v>0.5659722222222233</v>
      </c>
      <c r="N7" s="26">
        <f>N6+'L-7 KEY NEW(JPVE)'!$D7</f>
        <v>0.5906250000000014</v>
      </c>
      <c r="O7" s="7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</row>
    <row r="8" spans="8:8" s="29" ht="15.95" customFormat="1" customHeight="1">
      <c r="A8" s="30" t="s">
        <v>8</v>
      </c>
      <c r="B8" s="31" t="s">
        <v>2</v>
      </c>
      <c r="C8" s="31" t="s">
        <v>2</v>
      </c>
      <c r="D8" s="31" t="s">
        <v>2</v>
      </c>
      <c r="E8" s="31" t="s">
        <v>2</v>
      </c>
      <c r="F8" s="31" t="s">
        <v>2</v>
      </c>
      <c r="G8" s="31" t="s">
        <v>2</v>
      </c>
      <c r="H8" s="31" t="s">
        <v>2</v>
      </c>
      <c r="I8" s="31" t="s">
        <v>2</v>
      </c>
      <c r="J8" s="31" t="s">
        <v>2</v>
      </c>
      <c r="K8" s="31" t="s">
        <v>2</v>
      </c>
      <c r="L8" s="31" t="s">
        <v>2</v>
      </c>
      <c r="M8" s="31" t="s">
        <v>2</v>
      </c>
      <c r="N8" s="31" t="s">
        <v>2</v>
      </c>
      <c r="O8" s="7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</row>
    <row r="9" spans="8:8" s="33" ht="15.95" customFormat="1" customHeight="1">
      <c r="A9" s="34" t="s">
        <v>9</v>
      </c>
      <c r="B9" s="35">
        <f t="shared" si="0" ref="B9:N9">B2</f>
        <v>0.0</v>
      </c>
      <c r="C9" s="35">
        <f t="shared" si="0"/>
        <v>798.0</v>
      </c>
      <c r="D9" s="35">
        <f t="shared" si="0"/>
        <v>798.0</v>
      </c>
      <c r="E9" s="35">
        <f t="shared" si="0"/>
        <v>798.0</v>
      </c>
      <c r="F9" s="35">
        <f t="shared" si="0"/>
        <v>798.0</v>
      </c>
      <c r="G9" s="35">
        <f t="shared" si="0"/>
        <v>798.0</v>
      </c>
      <c r="H9" s="35">
        <f t="shared" si="0"/>
        <v>798.0</v>
      </c>
      <c r="I9" s="35">
        <f t="shared" si="0"/>
        <v>798.0</v>
      </c>
      <c r="J9" s="35">
        <f t="shared" si="0"/>
        <v>798.0</v>
      </c>
      <c r="K9" s="35">
        <f t="shared" si="0"/>
        <v>798.0</v>
      </c>
      <c r="L9" s="35">
        <f t="shared" si="0"/>
        <v>798.0</v>
      </c>
      <c r="M9" s="35">
        <f t="shared" si="0"/>
        <v>798.0</v>
      </c>
      <c r="N9" s="36">
        <f t="shared" si="0"/>
        <v>798.0</v>
      </c>
      <c r="O9" s="7"/>
    </row>
    <row r="10" spans="8:8" s="37" ht="15.95" customFormat="1" customHeight="1">
      <c r="A10" s="24" t="s">
        <v>7</v>
      </c>
      <c r="B10" s="20"/>
      <c r="C10" s="20">
        <v>0.319444444444444</v>
      </c>
      <c r="D10" s="25">
        <f>D7+'L-7 KEY NEW(JPVE)'!$T$20</f>
        <v>0.34513888888888766</v>
      </c>
      <c r="E10" s="25">
        <f>E7+'L-7 KEY NEW(JPVE)'!$T$20</f>
        <v>0.3697916666666657</v>
      </c>
      <c r="F10" s="25">
        <f>F7+'L-7 KEY NEW(JPVE)'!$T$20</f>
        <v>0.39444444444444365</v>
      </c>
      <c r="G10" s="25">
        <f>G7+'L-7 KEY NEW(JPVE)'!$T$20</f>
        <v>0.4190972222222217</v>
      </c>
      <c r="H10" s="25">
        <f>H7+'L-7 KEY NEW(JPVE)'!$T$20</f>
        <v>0.44374999999999964</v>
      </c>
      <c r="I10" s="25">
        <f>I7+'L-7 KEY NEW(JPVE)'!$T$20</f>
        <v>0.46840277777777767</v>
      </c>
      <c r="J10" s="25">
        <f>J7+'L-7 KEY NEW(JPVE)'!$T$20</f>
        <v>0.49305555555555564</v>
      </c>
      <c r="K10" s="25">
        <f>K7+'L-7 KEY NEW(JPVE)'!$T$20</f>
        <v>0.5177083333333338</v>
      </c>
      <c r="L10" s="25">
        <f>L7+'L-7 KEY NEW(JPVE)'!$T$20</f>
        <v>0.5423611111111117</v>
      </c>
      <c r="M10" s="25">
        <f>M7+'L-7 KEY NEW(JPVE)'!$T$20</f>
        <v>0.5670138888888897</v>
      </c>
      <c r="N10" s="26">
        <f>N7+'L-7 KEY NEW(JPVE)'!$T$20</f>
        <v>0.5916666666666677</v>
      </c>
      <c r="O10" s="7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</row>
    <row r="11" spans="8:8" ht="15.95" customHeight="1">
      <c r="A11" s="24" t="s">
        <v>6</v>
      </c>
      <c r="B11" s="20"/>
      <c r="C11" s="20">
        <f>C10+'L-7 KEY NEW(JPVE)'!$R5</f>
        <v>0.3253703703703699</v>
      </c>
      <c r="D11" s="25">
        <f>D10+'L-7 KEY NEW(JPVE)'!$M5</f>
        <v>0.34975694444444355</v>
      </c>
      <c r="E11" s="25">
        <f>E10+'L-7 KEY NEW(JPVE)'!$M5</f>
        <v>0.3744097222222216</v>
      </c>
      <c r="F11" s="25">
        <f>F10+'L-7 KEY NEW(JPVE)'!$M5</f>
        <v>0.39906249999999954</v>
      </c>
      <c r="G11" s="25">
        <f>G10+'L-7 KEY NEW(JPVE)'!$M5</f>
        <v>0.42371527777777757</v>
      </c>
      <c r="H11" s="25">
        <f>H10+'L-7 KEY NEW(JPVE)'!$M5</f>
        <v>0.44836805555555553</v>
      </c>
      <c r="I11" s="25">
        <f>I10+'L-7 KEY NEW(JPVE)'!$M5</f>
        <v>0.47302083333333356</v>
      </c>
      <c r="J11" s="25">
        <f>J10+'L-7 KEY NEW(JPVE)'!$M5</f>
        <v>0.4976736111111116</v>
      </c>
      <c r="K11" s="25">
        <f>K10+'L-7 KEY NEW(JPVE)'!$M5</f>
        <v>0.5223263888888895</v>
      </c>
      <c r="L11" s="25">
        <f>L10+'L-7 KEY NEW(JPVE)'!$M5</f>
        <v>0.5469791666666675</v>
      </c>
      <c r="M11" s="25">
        <f>M10+'L-7 KEY NEW(JPVE)'!$M5</f>
        <v>0.5716319444444455</v>
      </c>
      <c r="N11" s="26">
        <f>N10+'L-7 KEY NEW(JPVE)'!$M5</f>
        <v>0.5962847222222235</v>
      </c>
      <c r="O11" s="7"/>
    </row>
    <row r="12" spans="8:8" ht="15.95" customHeight="1">
      <c r="A12" s="24" t="s">
        <v>5</v>
      </c>
      <c r="B12" s="20"/>
      <c r="C12" s="20">
        <f>C11+'L-7 KEY NEW(JPVE)'!$R6</f>
        <v>0.32921296296296254</v>
      </c>
      <c r="D12" s="27">
        <f>D11+'L-7 KEY NEW(JPVE)'!$M6</f>
        <v>0.3527893518518514</v>
      </c>
      <c r="E12" s="27">
        <f>E11+'L-7 KEY NEW(JPVE)'!$M6</f>
        <v>0.3774421296296294</v>
      </c>
      <c r="F12" s="27">
        <f>F11+'L-7 KEY NEW(JPVE)'!$M6</f>
        <v>0.4020949074074074</v>
      </c>
      <c r="G12" s="27">
        <f>G11+'L-7 KEY NEW(JPVE)'!$M6</f>
        <v>0.4267476851851854</v>
      </c>
      <c r="H12" s="27">
        <f>H11+'L-7 KEY NEW(JPVE)'!$M6</f>
        <v>0.4514004629629634</v>
      </c>
      <c r="I12" s="27">
        <f>I11+'L-7 KEY NEW(JPVE)'!$M6</f>
        <v>0.4760532407407414</v>
      </c>
      <c r="J12" s="27">
        <f>J11+'L-7 KEY NEW(JPVE)'!$M6</f>
        <v>0.5007060185185194</v>
      </c>
      <c r="K12" s="27">
        <f>K11+'L-7 KEY NEW(JPVE)'!$M6</f>
        <v>0.5253587962962974</v>
      </c>
      <c r="L12" s="27">
        <f>L11+'L-7 KEY NEW(JPVE)'!$M6</f>
        <v>0.5500115740740754</v>
      </c>
      <c r="M12" s="27">
        <f>M11+'L-7 KEY NEW(JPVE)'!$M6</f>
        <v>0.5746643518518534</v>
      </c>
      <c r="N12" s="26">
        <f>N11+'L-7 KEY NEW(JPVE)'!$M6</f>
        <v>0.5993171296296314</v>
      </c>
      <c r="O12" s="7"/>
    </row>
    <row r="13" spans="8:8" s="17" ht="15.95" customFormat="1" customHeight="1">
      <c r="A13" s="24" t="s">
        <v>3</v>
      </c>
      <c r="B13" s="20"/>
      <c r="C13" s="20">
        <f>C12+'L-7 KEY NEW(JPVE)'!$R7</f>
        <v>0.331712962962963</v>
      </c>
      <c r="D13" s="27">
        <f>D12+'L-7 KEY NEW(JPVE)'!$M7</f>
        <v>0.35468749999999916</v>
      </c>
      <c r="E13" s="27">
        <f>E12+'L-7 KEY NEW(JPVE)'!$M7</f>
        <v>0.3793402777777771</v>
      </c>
      <c r="F13" s="27">
        <f>F12+'L-7 KEY NEW(JPVE)'!$M7</f>
        <v>0.40399305555555515</v>
      </c>
      <c r="G13" s="27">
        <f>G12+'L-7 KEY NEW(JPVE)'!$M7</f>
        <v>0.42864583333333317</v>
      </c>
      <c r="H13" s="27">
        <f>H12+'L-7 KEY NEW(JPVE)'!$M7</f>
        <v>0.45329861111111114</v>
      </c>
      <c r="I13" s="27">
        <f>I12+'L-7 KEY NEW(JPVE)'!$M7</f>
        <v>0.47795138888888916</v>
      </c>
      <c r="J13" s="27">
        <f>J12+'L-7 KEY NEW(JPVE)'!$M7</f>
        <v>0.5026041666666672</v>
      </c>
      <c r="K13" s="27">
        <f>K12+'L-7 KEY NEW(JPVE)'!$M7</f>
        <v>0.5272569444444452</v>
      </c>
      <c r="L13" s="27">
        <f>L12+'L-7 KEY NEW(JPVE)'!$M7</f>
        <v>0.5519097222222231</v>
      </c>
      <c r="M13" s="27">
        <f>M12+'L-7 KEY NEW(JPVE)'!$M7</f>
        <v>0.5765625000000012</v>
      </c>
      <c r="N13" s="26">
        <f>N12+'L-7 KEY NEW(JPVE)'!$M7</f>
        <v>0.6012152777777792</v>
      </c>
      <c r="O13" s="7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</row>
    <row r="14" spans="8:8" s="39" ht="15.95" customFormat="1" customHeight="1">
      <c r="A14" s="40" t="s">
        <v>8</v>
      </c>
      <c r="B14" s="41" t="s">
        <v>10</v>
      </c>
      <c r="C14" s="41" t="s">
        <v>10</v>
      </c>
      <c r="D14" s="41" t="s">
        <v>10</v>
      </c>
      <c r="E14" s="41" t="s">
        <v>10</v>
      </c>
      <c r="F14" s="41" t="s">
        <v>10</v>
      </c>
      <c r="G14" s="41" t="s">
        <v>10</v>
      </c>
      <c r="H14" s="41" t="s">
        <v>10</v>
      </c>
      <c r="I14" s="41" t="s">
        <v>10</v>
      </c>
      <c r="J14" s="41" t="s">
        <v>10</v>
      </c>
      <c r="K14" s="41" t="s">
        <v>10</v>
      </c>
      <c r="L14" s="41" t="s">
        <v>10</v>
      </c>
      <c r="M14" s="41" t="s">
        <v>10</v>
      </c>
      <c r="N14" s="41" t="s">
        <v>10</v>
      </c>
      <c r="O14" s="7"/>
    </row>
    <row r="15" spans="8:8" ht="21.75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7"/>
    </row>
    <row r="16" spans="8:8" ht="18.95" customHeight="1">
      <c r="A16" s="8" t="s">
        <v>1</v>
      </c>
      <c r="B16" s="10">
        <v>798.0</v>
      </c>
      <c r="C16" s="10">
        <v>798.0</v>
      </c>
      <c r="D16" s="10">
        <v>798.0</v>
      </c>
      <c r="E16" s="10">
        <v>798.0</v>
      </c>
      <c r="F16" s="10">
        <v>798.0</v>
      </c>
      <c r="G16" s="10">
        <v>798.0</v>
      </c>
      <c r="H16" s="10">
        <v>798.0</v>
      </c>
      <c r="I16" s="10">
        <v>798.0</v>
      </c>
      <c r="J16" s="10">
        <v>798.0</v>
      </c>
      <c r="K16" s="10">
        <v>798.0</v>
      </c>
      <c r="L16" s="10">
        <v>798.0</v>
      </c>
      <c r="M16" s="10">
        <v>798.0</v>
      </c>
      <c r="N16" s="10">
        <v>798.0</v>
      </c>
      <c r="O16" s="7"/>
    </row>
    <row r="17" spans="8:8" ht="18.95" customHeight="1">
      <c r="A17" s="319"/>
      <c r="B17" s="224" t="s">
        <v>53</v>
      </c>
      <c r="C17" s="224" t="s">
        <v>53</v>
      </c>
      <c r="D17" s="224" t="s">
        <v>53</v>
      </c>
      <c r="E17" s="224" t="s">
        <v>53</v>
      </c>
      <c r="F17" s="224" t="s">
        <v>53</v>
      </c>
      <c r="G17" s="224" t="s">
        <v>53</v>
      </c>
      <c r="H17" s="224" t="s">
        <v>53</v>
      </c>
      <c r="I17" s="224" t="s">
        <v>53</v>
      </c>
      <c r="J17" s="224" t="s">
        <v>53</v>
      </c>
      <c r="K17" s="224" t="s">
        <v>53</v>
      </c>
      <c r="L17" s="224" t="s">
        <v>53</v>
      </c>
      <c r="M17" s="224" t="s">
        <v>53</v>
      </c>
      <c r="N17" s="224" t="s">
        <v>53</v>
      </c>
      <c r="O17" s="7"/>
    </row>
    <row r="18" spans="8:8" ht="15.0" customHeight="1">
      <c r="A18" s="18" t="s">
        <v>3</v>
      </c>
      <c r="B18" s="21">
        <f>N4+'L-7 KEY NEW(JPVE)'!$T$22</f>
        <v>0.6045138888888908</v>
      </c>
      <c r="C18" s="21">
        <f>B18+'L-7 KEY NEW(JPVE)'!$T$22</f>
        <v>0.6291666666666689</v>
      </c>
      <c r="D18" s="21">
        <f>C18+'L-7 KEY NEW(JPVE)'!$T$22</f>
        <v>0.6538194444444467</v>
      </c>
      <c r="E18" s="21">
        <f>D18+'L-7 KEY NEW(JPVE)'!$T$22</f>
        <v>0.6784722222222248</v>
      </c>
      <c r="F18" s="21">
        <f>E18+'L-7 KEY NEW(JPVE)'!$T$22</f>
        <v>0.7031250000000029</v>
      </c>
      <c r="G18" s="21">
        <f>F18+'L-7 KEY NEW(JPVE)'!$T$22</f>
        <v>0.7277777777777807</v>
      </c>
      <c r="H18" s="21">
        <f>G18+'L-7 KEY NEW(JPVE)'!$T$22</f>
        <v>0.7524305555555588</v>
      </c>
      <c r="I18" s="21">
        <f>H18+'L-7 KEY NEW(JPVE)'!$T$22</f>
        <v>0.7770833333333369</v>
      </c>
      <c r="J18" s="21">
        <f>I18+'L-7 KEY NEW(JPVE)'!$T$22</f>
        <v>0.8017361111111148</v>
      </c>
      <c r="K18" s="21">
        <f>J18+'L-7 KEY NEW(JPVE)'!$T$22</f>
        <v>0.8263888888888928</v>
      </c>
      <c r="L18" s="21">
        <f>K18+'L-7 KEY NEW(JPVE)'!$T$22</f>
        <v>0.8510416666666707</v>
      </c>
      <c r="M18" s="21">
        <f>L18+'L-7 KEY NEW(JPVE)'!$T$22</f>
        <v>0.8756944444444488</v>
      </c>
      <c r="N18" s="21">
        <f>M18+'L-7 KEY NEW(JPVE)'!$T$22</f>
        <v>0.9003472222222269</v>
      </c>
      <c r="O18" s="7"/>
    </row>
    <row r="19" spans="8:8" ht="15.0" customHeight="1">
      <c r="A19" s="24" t="s">
        <v>5</v>
      </c>
      <c r="B19" s="25">
        <f>B18+'L-7 KEY NEW(JPVE)'!$D5</f>
        <v>0.6068750000000022</v>
      </c>
      <c r="C19" s="25">
        <f>C18+'L-7 KEY NEW(JPVE)'!$D5</f>
        <v>0.6315277777777801</v>
      </c>
      <c r="D19" s="25">
        <f>D18+'L-7 KEY NEW(JPVE)'!$D5</f>
        <v>0.6561805555555581</v>
      </c>
      <c r="E19" s="25">
        <f>E18+'L-7 KEY NEW(JPVE)'!$D5</f>
        <v>0.6808333333333362</v>
      </c>
      <c r="F19" s="25">
        <f>F18+'L-7 KEY NEW(JPVE)'!$D5</f>
        <v>0.7054861111111141</v>
      </c>
      <c r="G19" s="25">
        <f>G18+'L-7 KEY NEW(JPVE)'!$D5</f>
        <v>0.7301388888888921</v>
      </c>
      <c r="H19" s="25">
        <f>H18+'L-7 KEY NEW(JPVE)'!$D5</f>
        <v>0.7547916666666702</v>
      </c>
      <c r="I19" s="25">
        <f>I18+'L-7 KEY NEW(JPVE)'!$D5</f>
        <v>0.7794444444444482</v>
      </c>
      <c r="J19" s="25">
        <f>J18+'L-7 KEY NEW(JPVE)'!$D5</f>
        <v>0.8040972222222261</v>
      </c>
      <c r="K19" s="25">
        <f>K18+'L-7 KEY NEW(JPVE)'!$D5</f>
        <v>0.8287500000000041</v>
      </c>
      <c r="L19" s="25">
        <f>L18+'L-7 KEY NEW(JPVE)'!$D5</f>
        <v>0.8534027777777822</v>
      </c>
      <c r="M19" s="25">
        <f>M18+'L-7 KEY NEW(JPVE)'!$D5</f>
        <v>0.8780555555555601</v>
      </c>
      <c r="N19" s="26">
        <f>N18+'L-7 KEY NEW(JPVE)'!$D5</f>
        <v>0.9027083333333381</v>
      </c>
      <c r="O19" s="7"/>
    </row>
    <row r="20" spans="8:8" ht="15.0" customHeight="1">
      <c r="A20" s="24" t="s">
        <v>6</v>
      </c>
      <c r="B20" s="25">
        <f>B19+'L-7 KEY NEW(JPVE)'!$D6</f>
        <v>0.6099074074074095</v>
      </c>
      <c r="C20" s="25">
        <f>C19+'L-7 KEY NEW(JPVE)'!$D6</f>
        <v>0.6345601851851874</v>
      </c>
      <c r="D20" s="25">
        <f>D19+'L-7 KEY NEW(JPVE)'!$D6</f>
        <v>0.6592129629629654</v>
      </c>
      <c r="E20" s="25">
        <f>E19+'L-7 KEY NEW(JPVE)'!$D6</f>
        <v>0.6838657407407434</v>
      </c>
      <c r="F20" s="25">
        <f>F19+'L-7 KEY NEW(JPVE)'!$D6</f>
        <v>0.7085185185185214</v>
      </c>
      <c r="G20" s="25">
        <f>G19+'L-7 KEY NEW(JPVE)'!$D6</f>
        <v>0.7331712962962994</v>
      </c>
      <c r="H20" s="25">
        <f>H19+'L-7 KEY NEW(JPVE)'!$D6</f>
        <v>0.7578240740740774</v>
      </c>
      <c r="I20" s="25">
        <f>I19+'L-7 KEY NEW(JPVE)'!$D6</f>
        <v>0.7824768518518554</v>
      </c>
      <c r="J20" s="25">
        <f>J19+'L-7 KEY NEW(JPVE)'!$D6</f>
        <v>0.8071296296296334</v>
      </c>
      <c r="K20" s="25">
        <f>K19+'L-7 KEY NEW(JPVE)'!$D6</f>
        <v>0.8317824074074114</v>
      </c>
      <c r="L20" s="25">
        <f>L19+'L-7 KEY NEW(JPVE)'!$D6</f>
        <v>0.8564351851851894</v>
      </c>
      <c r="M20" s="25">
        <f>M19+'L-7 KEY NEW(JPVE)'!$D6</f>
        <v>0.8810879629629674</v>
      </c>
      <c r="N20" s="26">
        <f>N19+'L-7 KEY NEW(JPVE)'!$D6</f>
        <v>0.9057407407407454</v>
      </c>
    </row>
    <row r="21" spans="8:8" ht="15.0" customHeight="1">
      <c r="A21" s="18" t="s">
        <v>7</v>
      </c>
      <c r="B21" s="25">
        <f>B20+'L-7 KEY NEW(JPVE)'!$D7</f>
        <v>0.6152777777777804</v>
      </c>
      <c r="C21" s="25">
        <f>C20+'L-7 KEY NEW(JPVE)'!$D7</f>
        <v>0.6399305555555573</v>
      </c>
      <c r="D21" s="25">
        <f>D20+'L-7 KEY NEW(JPVE)'!$D7</f>
        <v>0.6645833333333354</v>
      </c>
      <c r="E21" s="25">
        <f>E20+'L-7 KEY NEW(JPVE)'!$D7</f>
        <v>0.6892361111111134</v>
      </c>
      <c r="F21" s="25">
        <f>F20+'L-7 KEY NEW(JPVE)'!$D7</f>
        <v>0.7138888888888913</v>
      </c>
      <c r="G21" s="25">
        <f>G20+'L-7 KEY NEW(JPVE)'!$D7</f>
        <v>0.7385416666666693</v>
      </c>
      <c r="H21" s="25">
        <f>H20+'L-7 KEY NEW(JPVE)'!$D7</f>
        <v>0.7631944444444474</v>
      </c>
      <c r="I21" s="25">
        <f>I20+'L-7 KEY NEW(JPVE)'!$D7</f>
        <v>0.7878472222222254</v>
      </c>
      <c r="J21" s="25">
        <f>J20+'L-7 KEY NEW(JPVE)'!$D7</f>
        <v>0.8125000000000033</v>
      </c>
      <c r="K21" s="25">
        <f>K20+'L-7 KEY NEW(JPVE)'!$D7</f>
        <v>0.8371527777777814</v>
      </c>
      <c r="L21" s="25">
        <f>L20+'L-7 KEY NEW(JPVE)'!$D7</f>
        <v>0.8618055555555594</v>
      </c>
      <c r="M21" s="25">
        <f>M20+'L-7 KEY NEW(JPVE)'!$D7</f>
        <v>0.8864583333333373</v>
      </c>
      <c r="N21" s="26">
        <f>N20+'L-7 KEY NEW(JPVE)'!$D7</f>
        <v>0.9111111111111153</v>
      </c>
    </row>
    <row r="22" spans="8:8" ht="15.95" customHeight="1">
      <c r="A22" s="30" t="s">
        <v>8</v>
      </c>
      <c r="B22" s="31" t="s">
        <v>2</v>
      </c>
      <c r="C22" s="31" t="s">
        <v>2</v>
      </c>
      <c r="D22" s="31" t="s">
        <v>2</v>
      </c>
      <c r="E22" s="31" t="s">
        <v>2</v>
      </c>
      <c r="F22" s="31" t="s">
        <v>2</v>
      </c>
      <c r="G22" s="31" t="s">
        <v>2</v>
      </c>
      <c r="H22" s="31" t="s">
        <v>2</v>
      </c>
      <c r="I22" s="31" t="s">
        <v>2</v>
      </c>
      <c r="J22" s="31" t="s">
        <v>2</v>
      </c>
      <c r="K22" s="31" t="s">
        <v>2</v>
      </c>
      <c r="L22" s="31" t="s">
        <v>2</v>
      </c>
      <c r="M22" s="31" t="s">
        <v>2</v>
      </c>
      <c r="N22" s="31" t="s">
        <v>2</v>
      </c>
    </row>
    <row r="23" spans="8:8" ht="18.0" customHeight="1">
      <c r="A23" s="34" t="s">
        <v>9</v>
      </c>
      <c r="B23" s="46">
        <f t="shared" si="1" ref="B23:N23">B16</f>
        <v>798.0</v>
      </c>
      <c r="C23" s="46">
        <f t="shared" si="1"/>
        <v>798.0</v>
      </c>
      <c r="D23" s="46">
        <f t="shared" si="1"/>
        <v>798.0</v>
      </c>
      <c r="E23" s="46">
        <f t="shared" si="1"/>
        <v>798.0</v>
      </c>
      <c r="F23" s="46">
        <f t="shared" si="1"/>
        <v>798.0</v>
      </c>
      <c r="G23" s="46">
        <f t="shared" si="1"/>
        <v>798.0</v>
      </c>
      <c r="H23" s="46">
        <f t="shared" si="1"/>
        <v>798.0</v>
      </c>
      <c r="I23" s="46">
        <f t="shared" si="1"/>
        <v>798.0</v>
      </c>
      <c r="J23" s="46">
        <f t="shared" si="1"/>
        <v>798.0</v>
      </c>
      <c r="K23" s="46">
        <f t="shared" si="1"/>
        <v>798.0</v>
      </c>
      <c r="L23" s="46">
        <f t="shared" si="1"/>
        <v>798.0</v>
      </c>
      <c r="M23" s="46">
        <f t="shared" si="1"/>
        <v>798.0</v>
      </c>
      <c r="N23" s="36">
        <f t="shared" si="1"/>
        <v>798.0</v>
      </c>
    </row>
    <row r="24" spans="8:8" ht="15.95" customHeight="1">
      <c r="A24" s="24" t="s">
        <v>7</v>
      </c>
      <c r="B24" s="25">
        <f>B21+'L-7 KEY NEW(JPVE)'!$T$20</f>
        <v>0.6163194444444468</v>
      </c>
      <c r="C24" s="25">
        <f>C21+'L-7 KEY NEW(JPVE)'!$T$20</f>
        <v>0.6409722222222237</v>
      </c>
      <c r="D24" s="25">
        <f>D21+'L-7 KEY NEW(JPVE)'!$T$20</f>
        <v>0.6656250000000017</v>
      </c>
      <c r="E24" s="25">
        <f>E21+'L-7 KEY NEW(JPVE)'!$T$20</f>
        <v>0.6902777777777798</v>
      </c>
      <c r="F24" s="25">
        <f>F21+'L-7 KEY NEW(JPVE)'!$T$20</f>
        <v>0.7149305555555577</v>
      </c>
      <c r="G24" s="25">
        <f>G21+'L-7 KEY NEW(JPVE)'!$T$20</f>
        <v>0.7395833333333357</v>
      </c>
      <c r="H24" s="25">
        <f>H21+'L-7 KEY NEW(JPVE)'!$T$20</f>
        <v>0.7642361111111137</v>
      </c>
      <c r="I24" s="25">
        <f>I21+'L-7 KEY NEW(JPVE)'!$T$20</f>
        <v>0.7888888888888917</v>
      </c>
      <c r="J24" s="25">
        <f>J21+'L-7 KEY NEW(JPVE)'!$T$20</f>
        <v>0.8135416666666697</v>
      </c>
      <c r="K24" s="38">
        <v>0.815972222222222</v>
      </c>
      <c r="L24" s="25">
        <f>L21+'L-7 KEY NEW(JPVE)'!$T$20</f>
        <v>0.8628472222222258</v>
      </c>
      <c r="M24" s="25">
        <f>M21+'L-7 KEY NEW(JPVE)'!$T$20</f>
        <v>0.8875000000000037</v>
      </c>
      <c r="N24" s="26">
        <f>N21+'L-7 KEY NEW(JPVE)'!$T$20</f>
        <v>0.9121527777777817</v>
      </c>
    </row>
    <row r="25" spans="8:8" ht="15.95" customHeight="1">
      <c r="A25" s="24" t="s">
        <v>6</v>
      </c>
      <c r="B25" s="25">
        <f>B24+'L-7 KEY NEW(JPVE)'!$M5</f>
        <v>0.6209375000000025</v>
      </c>
      <c r="C25" s="25">
        <f>C24+'L-7 KEY NEW(JPVE)'!$M5</f>
        <v>0.6455902777777796</v>
      </c>
      <c r="D25" s="25">
        <f>D24+'L-7 KEY NEW(JPVE)'!$M5</f>
        <v>0.6702430555555575</v>
      </c>
      <c r="E25" s="25">
        <f>E24+'L-7 KEY NEW(JPVE)'!$M5</f>
        <v>0.6948958333333355</v>
      </c>
      <c r="F25" s="25">
        <f>F24+'L-7 KEY NEW(JPVE)'!$M5</f>
        <v>0.7195486111111135</v>
      </c>
      <c r="G25" s="25">
        <f>G24+'L-7 KEY NEW(JPVE)'!$M5</f>
        <v>0.7442013888888915</v>
      </c>
      <c r="H25" s="25">
        <f>H24+'L-7 KEY NEW(JPVE)'!$M5</f>
        <v>0.7688541666666695</v>
      </c>
      <c r="I25" s="25">
        <f>I24+'L-7 KEY NEW(JPVE)'!$M5</f>
        <v>0.7935069444444475</v>
      </c>
      <c r="J25" s="25">
        <f>J24+'L-7 KEY NEW(JPVE)'!$M5</f>
        <v>0.8181597222222255</v>
      </c>
      <c r="K25" s="25">
        <f>K24+'L-7 KEY NEW(JPVE)'!$M5</f>
        <v>0.8205902777777775</v>
      </c>
      <c r="L25" s="25">
        <f>L24+'L-7 KEY NEW(JPVE)'!$M5</f>
        <v>0.8674652777777815</v>
      </c>
      <c r="M25" s="25">
        <f>M24+'L-7 KEY NEW(JPVE)'!$M5</f>
        <v>0.8921180555555595</v>
      </c>
      <c r="N25" s="26">
        <f>N24+'L-7 KEY NEW(JPVE)'!$M5</f>
        <v>0.9167708333333375</v>
      </c>
    </row>
    <row r="26" spans="8:8" ht="15.95" customHeight="1">
      <c r="A26" s="24" t="s">
        <v>5</v>
      </c>
      <c r="B26" s="25">
        <f>B25+'L-7 KEY NEW(JPVE)'!$M6</f>
        <v>0.6239699074074104</v>
      </c>
      <c r="C26" s="25">
        <f>C25+'L-7 KEY NEW(JPVE)'!$M6</f>
        <v>0.6486226851851874</v>
      </c>
      <c r="D26" s="25">
        <f>D25+'L-7 KEY NEW(JPVE)'!$M6</f>
        <v>0.6732754629629654</v>
      </c>
      <c r="E26" s="25">
        <f>E25+'L-7 KEY NEW(JPVE)'!$M6</f>
        <v>0.6979282407407434</v>
      </c>
      <c r="F26" s="25">
        <f>F25+'L-7 KEY NEW(JPVE)'!$M6</f>
        <v>0.7225810185185214</v>
      </c>
      <c r="G26" s="25">
        <f>G25+'L-7 KEY NEW(JPVE)'!$M6</f>
        <v>0.7472337962962994</v>
      </c>
      <c r="H26" s="25">
        <f>H25+'L-7 KEY NEW(JPVE)'!$M6</f>
        <v>0.7718865740740773</v>
      </c>
      <c r="I26" s="25">
        <f>I25+'L-7 KEY NEW(JPVE)'!$M6</f>
        <v>0.7965393518518554</v>
      </c>
      <c r="J26" s="25">
        <f>J25+'L-7 KEY NEW(JPVE)'!$M6</f>
        <v>0.8211921296296334</v>
      </c>
      <c r="K26" s="25">
        <f>K25+'L-7 KEY NEW(JPVE)'!$M6</f>
        <v>0.8236226851851854</v>
      </c>
      <c r="L26" s="25">
        <f>L25+'L-7 KEY NEW(JPVE)'!$M6</f>
        <v>0.8704976851851894</v>
      </c>
      <c r="M26" s="25">
        <f>M25+'L-7 KEY NEW(JPVE)'!$M6</f>
        <v>0.8951504629629674</v>
      </c>
      <c r="N26" s="26">
        <f>N25+'L-7 KEY NEW(JPVE)'!$M6</f>
        <v>0.9198032407407454</v>
      </c>
    </row>
    <row r="27" spans="8:8" ht="15.95" customHeight="1">
      <c r="A27" s="24" t="s">
        <v>3</v>
      </c>
      <c r="B27" s="25">
        <f>B26+'L-7 KEY NEW(JPVE)'!$M7</f>
        <v>0.6258680555555581</v>
      </c>
      <c r="C27" s="25">
        <f>C26+'L-7 KEY NEW(JPVE)'!$M7</f>
        <v>0.6505208333333351</v>
      </c>
      <c r="D27" s="25">
        <f>D26+'L-7 KEY NEW(JPVE)'!$M7</f>
        <v>0.6751736111111132</v>
      </c>
      <c r="E27" s="25">
        <f>E26+'L-7 KEY NEW(JPVE)'!$M7</f>
        <v>0.6998263888888911</v>
      </c>
      <c r="F27" s="25">
        <f>F26+'L-7 KEY NEW(JPVE)'!$M7</f>
        <v>0.7244791666666691</v>
      </c>
      <c r="G27" s="25">
        <f>G26+'L-7 KEY NEW(JPVE)'!$M7</f>
        <v>0.7491319444444472</v>
      </c>
      <c r="H27" s="25">
        <f>H26+'L-7 KEY NEW(JPVE)'!$M7</f>
        <v>0.7737847222222252</v>
      </c>
      <c r="I27" s="25">
        <f>I26+'L-7 KEY NEW(JPVE)'!$M7</f>
        <v>0.7984375000000031</v>
      </c>
      <c r="J27" s="25">
        <f>J26+'L-7 KEY NEW(JPVE)'!$M7</f>
        <v>0.8230902777777811</v>
      </c>
      <c r="K27" s="25">
        <f>K26+'L-7 KEY NEW(JPVE)'!$M7</f>
        <v>0.8255208333333331</v>
      </c>
      <c r="L27" s="25">
        <f>L26+'L-7 KEY NEW(JPVE)'!$M7</f>
        <v>0.8723958333333371</v>
      </c>
      <c r="M27" s="25">
        <f>M26+'L-7 KEY NEW(JPVE)'!$M7</f>
        <v>0.8970486111111151</v>
      </c>
      <c r="N27" s="26">
        <f>N26+'L-7 KEY NEW(JPVE)'!$M7</f>
        <v>0.9217013888888932</v>
      </c>
    </row>
    <row r="28" spans="8:8" ht="15.75" customHeight="1">
      <c r="A28" s="40" t="s">
        <v>8</v>
      </c>
      <c r="B28" s="41" t="s">
        <v>10</v>
      </c>
      <c r="C28" s="41" t="s">
        <v>10</v>
      </c>
      <c r="D28" s="41" t="s">
        <v>10</v>
      </c>
      <c r="E28" s="41" t="s">
        <v>10</v>
      </c>
      <c r="F28" s="41" t="s">
        <v>10</v>
      </c>
      <c r="G28" s="41" t="s">
        <v>10</v>
      </c>
      <c r="H28" s="41" t="s">
        <v>10</v>
      </c>
      <c r="I28" s="41" t="s">
        <v>10</v>
      </c>
      <c r="J28" s="41" t="s">
        <v>10</v>
      </c>
      <c r="K28" s="41" t="s">
        <v>10</v>
      </c>
      <c r="L28" s="41" t="s">
        <v>10</v>
      </c>
      <c r="M28" s="41" t="s">
        <v>10</v>
      </c>
      <c r="N28" s="41" t="s">
        <v>10</v>
      </c>
    </row>
    <row r="29" spans="8:8" ht="14.55">
      <c r="A29" s="42"/>
      <c r="B29" s="43"/>
      <c r="C29" s="43"/>
      <c r="D29" s="43"/>
      <c r="E29" s="47"/>
      <c r="F29" s="47"/>
      <c r="G29" s="47"/>
      <c r="H29" s="47"/>
      <c r="I29" s="47"/>
      <c r="J29" s="43"/>
      <c r="K29" s="43"/>
      <c r="L29" s="43"/>
      <c r="M29" s="43"/>
      <c r="N29" s="44"/>
    </row>
    <row r="30" spans="8:8" ht="21.75">
      <c r="A30" s="48" t="s">
        <v>1</v>
      </c>
      <c r="B30" s="10">
        <v>798.0</v>
      </c>
      <c r="C30" s="10">
        <v>798.0</v>
      </c>
      <c r="D30" s="10">
        <v>798.0</v>
      </c>
      <c r="E30" s="51"/>
      <c r="F30" s="52"/>
      <c r="G30" s="52"/>
      <c r="H30" s="52"/>
      <c r="I30" s="53"/>
      <c r="J30" s="54" t="s">
        <v>11</v>
      </c>
      <c r="K30" s="55"/>
      <c r="L30" s="55"/>
      <c r="M30" s="55"/>
      <c r="N30" s="56"/>
    </row>
    <row r="31" spans="8:8" ht="21.75">
      <c r="A31" s="319"/>
      <c r="B31" s="14" t="s">
        <v>53</v>
      </c>
      <c r="C31" s="14" t="s">
        <v>53</v>
      </c>
      <c r="D31" s="14" t="s">
        <v>53</v>
      </c>
      <c r="E31" s="320"/>
      <c r="F31" s="321"/>
      <c r="G31" s="321"/>
      <c r="H31" s="321"/>
      <c r="I31" s="322"/>
      <c r="J31" s="323"/>
      <c r="K31" s="324"/>
      <c r="L31" s="324"/>
      <c r="M31" s="324"/>
      <c r="N31" s="325"/>
    </row>
    <row r="32" spans="8:8" ht="15.0" customHeight="1">
      <c r="A32" s="18" t="s">
        <v>3</v>
      </c>
      <c r="B32" s="21">
        <f>N27+'L-7 KEY NEW(JPVE)'!$T$20</f>
        <v>0.9227430555555597</v>
      </c>
      <c r="C32" s="21">
        <v>0.888888888888889</v>
      </c>
      <c r="D32" s="22">
        <v>0.916666666666667</v>
      </c>
      <c r="E32" s="57"/>
      <c r="F32" s="58"/>
      <c r="G32" s="58"/>
      <c r="H32" s="58"/>
      <c r="I32" s="59"/>
      <c r="J32" s="60" t="s">
        <v>12</v>
      </c>
      <c r="K32" s="61"/>
      <c r="L32" s="61" t="s">
        <v>13</v>
      </c>
      <c r="M32" s="62" t="s">
        <v>14</v>
      </c>
      <c r="N32" s="63" t="s">
        <v>15</v>
      </c>
    </row>
    <row r="33" spans="8:8" ht="15.0" customHeight="1">
      <c r="A33" s="24" t="s">
        <v>5</v>
      </c>
      <c r="B33" s="25">
        <f>B32+'L-7 KEY NEW(JPVE)'!$D5</f>
        <v>0.9251041666666712</v>
      </c>
      <c r="C33" s="25">
        <f>C32+'L-7 KEY NEW(JPVE)'!$D5</f>
        <v>0.8912500000000001</v>
      </c>
      <c r="D33" s="26">
        <f>D32+'L-7 KEY NEW(JPVE)'!$D5</f>
        <v>0.9190277777777781</v>
      </c>
      <c r="E33" s="57"/>
      <c r="F33" s="58"/>
      <c r="G33" s="58"/>
      <c r="H33" s="58"/>
      <c r="I33" s="59"/>
      <c r="J33" s="64"/>
      <c r="K33" s="65"/>
      <c r="L33" s="65"/>
      <c r="M33" s="66"/>
      <c r="N33" s="67"/>
    </row>
    <row r="34" spans="8:8" ht="15.0" customHeight="1">
      <c r="A34" s="24" t="s">
        <v>6</v>
      </c>
      <c r="B34" s="25">
        <f>B33+'L-7 KEY NEW(JPVE)'!$D6</f>
        <v>0.9281365740740783</v>
      </c>
      <c r="C34" s="25">
        <f>C33+'L-7 KEY NEW(JPVE)'!$D6</f>
        <v>0.8942824074074074</v>
      </c>
      <c r="D34" s="26">
        <f>D33+'L-7 KEY NEW(JPVE)'!$D6</f>
        <v>0.9220601851851854</v>
      </c>
      <c r="E34" s="57"/>
      <c r="F34" s="58"/>
      <c r="G34" s="58"/>
      <c r="H34" s="58"/>
      <c r="I34" s="59"/>
      <c r="J34" s="64" t="s">
        <v>16</v>
      </c>
      <c r="K34" s="65"/>
      <c r="L34" s="68">
        <v>4.96</v>
      </c>
      <c r="M34" s="69">
        <v>27.0</v>
      </c>
      <c r="N34" s="70">
        <f>L34*M34</f>
        <v>133.92</v>
      </c>
    </row>
    <row r="35" spans="8:8" ht="15.0" customHeight="1">
      <c r="A35" s="18" t="s">
        <v>7</v>
      </c>
      <c r="B35" s="25">
        <f>B34+'L-7 KEY NEW(JPVE)'!$D7</f>
        <v>0.9335069444444484</v>
      </c>
      <c r="C35" s="25">
        <f>C34+'L-7 KEY NEW(JPVE)'!$D7</f>
        <v>0.8996527777777774</v>
      </c>
      <c r="D35" s="26">
        <f>D34+'L-7 KEY NEW(JPVE)'!$D7</f>
        <v>0.9274305555555553</v>
      </c>
      <c r="E35" s="57"/>
      <c r="F35" s="58"/>
      <c r="G35" s="58"/>
      <c r="H35" s="58"/>
      <c r="I35" s="59"/>
      <c r="J35" s="64" t="s">
        <v>17</v>
      </c>
      <c r="K35" s="65"/>
      <c r="L35" s="68">
        <v>4.96</v>
      </c>
      <c r="M35" s="69">
        <v>28.0</v>
      </c>
      <c r="N35" s="70">
        <f>L35*M35</f>
        <v>138.88</v>
      </c>
    </row>
    <row r="36" spans="8:8" ht="15.0" customHeight="1">
      <c r="A36" s="30" t="s">
        <v>8</v>
      </c>
      <c r="B36" s="31" t="s">
        <v>2</v>
      </c>
      <c r="C36" s="31" t="s">
        <v>2</v>
      </c>
      <c r="D36" s="31" t="s">
        <v>2</v>
      </c>
      <c r="E36" s="71"/>
      <c r="F36" s="72"/>
      <c r="G36" s="72"/>
      <c r="H36" s="72"/>
      <c r="I36" s="73"/>
      <c r="J36" s="74" t="s">
        <v>18</v>
      </c>
      <c r="K36" s="75"/>
      <c r="L36" s="75"/>
      <c r="M36" s="76">
        <f>SUM(M34:M35)</f>
        <v>55.0</v>
      </c>
      <c r="N36" s="77">
        <f>SUM(N34:N35)</f>
        <v>272.79999999999995</v>
      </c>
    </row>
    <row r="37" spans="8:8" ht="21.75">
      <c r="A37" s="34" t="s">
        <v>9</v>
      </c>
      <c r="B37" s="46">
        <f>B30</f>
        <v>798.0</v>
      </c>
      <c r="C37" s="46">
        <f>C30</f>
        <v>798.0</v>
      </c>
      <c r="D37" s="36">
        <f>D30</f>
        <v>798.0</v>
      </c>
      <c r="E37" s="78" t="s">
        <v>19</v>
      </c>
      <c r="F37" s="79"/>
      <c r="G37" s="79"/>
      <c r="H37" s="79"/>
      <c r="I37" s="80"/>
      <c r="J37" s="81" t="s">
        <v>20</v>
      </c>
      <c r="K37" s="82"/>
      <c r="L37" s="82"/>
      <c r="M37" s="82"/>
      <c r="N37" s="83"/>
    </row>
    <row r="38" spans="8:8" ht="15.95" customHeight="1">
      <c r="A38" s="24" t="s">
        <v>7</v>
      </c>
      <c r="B38" s="25">
        <f>B35+'L-7 KEY NEW(JPVE)'!$T$20</f>
        <v>0.9345486111111148</v>
      </c>
      <c r="C38" s="25">
        <v>0.902777777777778</v>
      </c>
      <c r="D38" s="84" t="s">
        <v>21</v>
      </c>
      <c r="E38" s="85" t="s">
        <v>22</v>
      </c>
      <c r="F38" s="86"/>
      <c r="G38" s="86"/>
      <c r="H38" s="86"/>
      <c r="I38" s="87"/>
      <c r="J38" s="88" t="s">
        <v>23</v>
      </c>
      <c r="K38" s="89" t="s">
        <v>23</v>
      </c>
      <c r="L38" s="89" t="s">
        <v>24</v>
      </c>
      <c r="M38" s="89"/>
      <c r="N38" s="90" t="s">
        <v>25</v>
      </c>
    </row>
    <row r="39" spans="8:8" ht="15.95" customHeight="1">
      <c r="A39" s="24" t="s">
        <v>6</v>
      </c>
      <c r="B39" s="25">
        <f>B38+'L-7 KEY NEW(JPVE)'!$M5</f>
        <v>0.9391666666666705</v>
      </c>
      <c r="C39" s="25">
        <f>C38+'L-7 KEY NEW(JPVE)'!$M5</f>
        <v>0.9073958333333335</v>
      </c>
      <c r="D39" s="84"/>
      <c r="E39" s="91"/>
      <c r="F39" s="92"/>
      <c r="G39" s="92"/>
      <c r="H39" s="92"/>
      <c r="I39" s="93"/>
      <c r="J39" s="94" t="s">
        <v>10</v>
      </c>
      <c r="K39" s="95" t="s">
        <v>2</v>
      </c>
      <c r="L39" s="21">
        <v>0.333333333333333</v>
      </c>
      <c r="M39" s="21"/>
      <c r="N39" s="22">
        <v>0.916666666666667</v>
      </c>
      <c r="Q39" s="96"/>
      <c r="R39" s="25"/>
      <c r="S39" s="25"/>
      <c r="T39" s="25"/>
      <c r="U39" s="26"/>
    </row>
    <row r="40" spans="8:8" ht="15.95" customHeight="1">
      <c r="A40" s="24" t="s">
        <v>5</v>
      </c>
      <c r="B40" s="25">
        <f>B39+'L-7 KEY NEW(JPVE)'!$M6</f>
        <v>0.9421990740740784</v>
      </c>
      <c r="C40" s="25">
        <f>C39+'L-7 KEY NEW(JPVE)'!$M6</f>
        <v>0.9104282407407414</v>
      </c>
      <c r="D40" s="97"/>
      <c r="E40" s="98" t="s">
        <v>26</v>
      </c>
      <c r="F40" s="99"/>
      <c r="G40" s="99"/>
      <c r="H40" s="99" t="s">
        <v>27</v>
      </c>
      <c r="I40" s="100"/>
      <c r="J40" s="101" t="s">
        <v>2</v>
      </c>
      <c r="K40" s="95" t="s">
        <v>10</v>
      </c>
      <c r="L40" s="21">
        <v>0.343923611111111</v>
      </c>
      <c r="M40" s="21"/>
      <c r="N40" s="22">
        <v>0.902777777777778</v>
      </c>
    </row>
    <row r="41" spans="8:8" ht="15.95" customHeight="1">
      <c r="A41" s="24" t="s">
        <v>3</v>
      </c>
      <c r="B41" s="25">
        <f>B40+'L-7 KEY NEW(JPVE)'!$M7</f>
        <v>0.9440972222222261</v>
      </c>
      <c r="C41" s="25">
        <f>C40+'L-7 KEY NEW(JPVE)'!$M7</f>
        <v>0.9123263888888892</v>
      </c>
      <c r="D41" s="97"/>
      <c r="E41" s="102"/>
      <c r="F41" s="103"/>
      <c r="G41" s="103"/>
      <c r="H41" s="103"/>
      <c r="I41" s="104"/>
      <c r="J41" s="101" t="s">
        <v>28</v>
      </c>
      <c r="K41" s="95" t="s">
        <v>10</v>
      </c>
      <c r="L41" s="21">
        <v>0.25</v>
      </c>
      <c r="M41" s="21"/>
      <c r="N41" s="22">
        <v>0.829166666666667</v>
      </c>
    </row>
    <row r="42" spans="8:8" ht="26.1" customHeight="1">
      <c r="A42" s="105" t="s">
        <v>8</v>
      </c>
      <c r="B42" s="106" t="s">
        <v>10</v>
      </c>
      <c r="C42" s="106" t="s">
        <v>10</v>
      </c>
      <c r="D42" s="107" t="s">
        <v>29</v>
      </c>
      <c r="E42" s="108" t="s">
        <v>30</v>
      </c>
      <c r="F42" s="109"/>
      <c r="G42" s="109"/>
      <c r="H42" s="110" t="s">
        <v>31</v>
      </c>
      <c r="I42" s="111"/>
      <c r="J42" s="112" t="s">
        <v>32</v>
      </c>
      <c r="K42" s="113" t="s">
        <v>10</v>
      </c>
      <c r="L42" s="109">
        <v>0.25</v>
      </c>
      <c r="M42" s="109"/>
      <c r="N42" s="114">
        <v>0.820833333333333</v>
      </c>
    </row>
  </sheetData>
  <mergeCells count="27">
    <mergeCell ref="A1:N1"/>
    <mergeCell ref="C4:C7"/>
    <mergeCell ref="A15:N15"/>
    <mergeCell ref="E39:I39"/>
    <mergeCell ref="J32:K33"/>
    <mergeCell ref="L40:M40"/>
    <mergeCell ref="N32:N33"/>
    <mergeCell ref="E40:G41"/>
    <mergeCell ref="Q39:U39"/>
    <mergeCell ref="L42:M42"/>
    <mergeCell ref="D38:D41"/>
    <mergeCell ref="A29:N29"/>
    <mergeCell ref="E42:G42"/>
    <mergeCell ref="J30:N30"/>
    <mergeCell ref="E38:I38"/>
    <mergeCell ref="L41:M41"/>
    <mergeCell ref="M32:M33"/>
    <mergeCell ref="H42:I42"/>
    <mergeCell ref="E37:I37"/>
    <mergeCell ref="L32:L33"/>
    <mergeCell ref="J37:N37"/>
    <mergeCell ref="L39:M39"/>
    <mergeCell ref="J36:L36"/>
    <mergeCell ref="L38:M38"/>
    <mergeCell ref="J34:K34"/>
    <mergeCell ref="J35:K35"/>
    <mergeCell ref="H40:I41"/>
  </mergeCells>
  <conditionalFormatting sqref="B2:N2 B9:M9 B16:N16 B30:I30 E31:I31">
    <cfRule type="cellIs" operator="equal" priority="7" dxfId="208">
      <formula>$A$2</formula>
    </cfRule>
  </conditionalFormatting>
  <conditionalFormatting sqref="B8:N8 P14:AN14 B14:N14 B28:N28 B22:N22 B36:J36 B42:C42">
    <cfRule type="containsText" text="MKPD" operator="containsText" priority="2" dxfId="209">
      <formula>NOT(ISERROR(SEARCH("MKPD",B8)))</formula>
    </cfRule>
    <cfRule type="containsText" text="MKPR 3RD" operator="containsText" priority="3" dxfId="210">
      <formula>NOT(ISERROR(SEARCH("MKPR 3RD",B8)))</formula>
    </cfRule>
    <cfRule type="containsText" text="VND" operator="containsText" priority="1" dxfId="211">
      <formula>NOT(ISERROR(SEARCH("VND",B8)))</formula>
    </cfRule>
  </conditionalFormatting>
  <conditionalFormatting sqref="A8 P8:AV8 A14 A28 A22 A42 A36">
    <cfRule type="containsText" text="MUPR DN" operator="containsText" priority="5" dxfId="212">
      <formula>NOT(ISERROR(SEARCH("MUPR DN",A8)))</formula>
    </cfRule>
    <cfRule type="containsText" text="NIZM UP" operator="containsText" priority="4" dxfId="213">
      <formula>NOT(ISERROR(SEARCH("NIZM UP",A8)))</formula>
    </cfRule>
    <cfRule type="containsText" text="SVVR DN" operator="containsText" priority="6" dxfId="214">
      <formula>NOT(ISERROR(SEARCH("SVVR DN",A8)))</formula>
    </cfRule>
  </conditionalFormatting>
  <pageMargins left="0.41" right="0.19" top="0.2" bottom="0.314583333333333" header="0.156944444444444" footer="0.156944444444444"/>
  <pageSetup paperSize="9" scale="78" orientation="landscape"/>
  <headerFooter>
    <oddFooter>&amp;CPage &amp;P of &amp;N&amp;RMKPR-JPVE LOOP 33 MINS HEADWAY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ED7265"/>
    <pageSetUpPr fitToPage="1"/>
  </sheetPr>
  <dimension ref="A1:DX67"/>
  <sheetViews>
    <sheetView workbookViewId="0" topLeftCell="E4" zoomScale="71">
      <selection activeCell="U10" sqref="U10"/>
    </sheetView>
  </sheetViews>
  <sheetFormatPr defaultRowHeight="14.4" defaultColWidth="9"/>
  <cols>
    <col min="1" max="1" customWidth="1" width="13.285156" style="282"/>
    <col min="2" max="2" customWidth="1" width="12.5703125" style="283"/>
    <col min="3" max="4" customWidth="1" width="12.5703125" style="284"/>
    <col min="5" max="9" customWidth="1" width="12.8515625" style="285"/>
    <col min="10" max="12" customWidth="1" width="11.0" style="285"/>
    <col min="13" max="13" customWidth="0" width="9.136719" style="285"/>
    <col min="14" max="15" customWidth="0" width="12.886719" style="285"/>
    <col min="16" max="16384" customWidth="0" width="9.136719" style="285"/>
  </cols>
  <sheetData>
    <row r="1" spans="8:8" s="185" ht="36.0" customFormat="1" customHeight="1">
      <c r="A1" s="326" t="s">
        <v>73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DP1" s="185" t="e">
        <f>#REF!</f>
        <v>#REF!</v>
      </c>
      <c r="DQ1" s="185" t="e">
        <f>#REF!</f>
        <v>#REF!</v>
      </c>
    </row>
    <row r="2" spans="8:8" s="328" ht="41.25" customFormat="1" customHeight="1">
      <c r="A2" s="329" t="s">
        <v>12</v>
      </c>
      <c r="B2" s="330" t="s">
        <v>74</v>
      </c>
      <c r="C2" s="331"/>
      <c r="D2" s="331"/>
      <c r="E2" s="331"/>
      <c r="F2" s="331"/>
      <c r="G2" s="330" t="s">
        <v>75</v>
      </c>
      <c r="H2" s="331"/>
      <c r="I2" s="331"/>
      <c r="J2" s="331"/>
      <c r="K2" s="331"/>
      <c r="L2" s="331"/>
      <c r="S2" s="14"/>
    </row>
    <row r="3" spans="8:8" ht="18.0" customHeight="1">
      <c r="A3" s="329"/>
      <c r="B3" s="291" t="s">
        <v>76</v>
      </c>
      <c r="C3" s="291" t="s">
        <v>77</v>
      </c>
      <c r="D3" s="291" t="s">
        <v>169</v>
      </c>
      <c r="E3" s="293" t="s">
        <v>82</v>
      </c>
      <c r="F3" s="293" t="s">
        <v>83</v>
      </c>
      <c r="G3" s="291" t="s">
        <v>84</v>
      </c>
      <c r="H3" s="291" t="s">
        <v>76</v>
      </c>
      <c r="I3" s="291" t="s">
        <v>77</v>
      </c>
      <c r="J3" s="291" t="s">
        <v>169</v>
      </c>
      <c r="K3" s="293" t="s">
        <v>82</v>
      </c>
      <c r="L3" s="293" t="s">
        <v>83</v>
      </c>
    </row>
    <row r="4" spans="8:8" ht="62.0" customHeight="1">
      <c r="A4" s="329"/>
      <c r="B4" s="294"/>
      <c r="C4" s="294"/>
      <c r="D4" s="294"/>
      <c r="E4" s="295"/>
      <c r="F4" s="295"/>
      <c r="G4" s="294"/>
      <c r="H4" s="294"/>
      <c r="I4" s="294"/>
      <c r="J4" s="294"/>
      <c r="K4" s="295"/>
      <c r="L4" s="295"/>
    </row>
    <row r="5" spans="8:8" ht="14.7">
      <c r="A5" s="296" t="s">
        <v>183</v>
      </c>
      <c r="B5" s="297">
        <v>0.0033333333333333335</v>
      </c>
      <c r="C5" s="298">
        <v>4.62962962962963E-4</v>
      </c>
      <c r="D5" s="298">
        <f>B5+C5</f>
        <v>0.0037962962962962933</v>
      </c>
      <c r="E5" s="332">
        <v>0.0075</v>
      </c>
      <c r="F5" s="332">
        <f>E5+C5</f>
        <v>0.007962962962962963</v>
      </c>
      <c r="G5" s="300" t="s">
        <v>185</v>
      </c>
      <c r="H5" s="297">
        <v>0.0030555555555555557</v>
      </c>
      <c r="I5" s="298">
        <v>4.62962962962963E-4</v>
      </c>
      <c r="J5" s="298">
        <f>H5+I5</f>
        <v>0.0035185185185185232</v>
      </c>
      <c r="K5" s="298">
        <v>0.00546296296296296</v>
      </c>
      <c r="L5" s="332">
        <v>0.0055787037037037</v>
      </c>
    </row>
    <row r="6" spans="8:8" ht="14.7">
      <c r="A6" s="296" t="s">
        <v>184</v>
      </c>
      <c r="B6" s="297">
        <v>0.0030555555555555557</v>
      </c>
      <c r="C6" s="298"/>
      <c r="D6" s="298">
        <f>B6+C6</f>
        <v>0.00305555555555556</v>
      </c>
      <c r="E6" s="332">
        <v>0.006875</v>
      </c>
      <c r="F6" s="332">
        <f>E6</f>
        <v>0.006875</v>
      </c>
      <c r="G6" s="300" t="s">
        <v>186</v>
      </c>
      <c r="H6" s="297">
        <v>0.0033333333333333335</v>
      </c>
      <c r="I6" s="298"/>
      <c r="J6" s="298">
        <f>H6+I6</f>
        <v>0.00333333333333333</v>
      </c>
      <c r="K6" s="298">
        <v>0.00337962962962963</v>
      </c>
      <c r="L6" s="332">
        <v>0.00349537037037037</v>
      </c>
      <c r="N6" s="298"/>
      <c r="P6" s="304"/>
    </row>
    <row r="7" spans="8:8" ht="14.7">
      <c r="A7" s="296" t="s">
        <v>92</v>
      </c>
      <c r="B7" s="298"/>
      <c r="C7" s="298"/>
      <c r="D7" s="298"/>
      <c r="E7" s="332"/>
      <c r="F7" s="332"/>
      <c r="G7" s="300" t="s">
        <v>93</v>
      </c>
      <c r="H7" s="298"/>
      <c r="I7" s="298"/>
      <c r="J7" s="298">
        <f>H7+I7</f>
        <v>0.0</v>
      </c>
      <c r="K7" s="298"/>
      <c r="L7" s="332">
        <v>0.00261574074074074</v>
      </c>
      <c r="N7" s="298"/>
    </row>
    <row r="8" spans="8:8" s="313" ht="24.0" customFormat="1" customHeight="1">
      <c r="B8" s="314">
        <f>SUM(B5:B7)</f>
        <v>0.006388888888888889</v>
      </c>
      <c r="C8" s="314">
        <f>SUM(C5:C6)</f>
        <v>4.62962962962963E-4</v>
      </c>
      <c r="D8" s="314">
        <f>SUM(D5:D7)</f>
        <v>0.006851851851851854</v>
      </c>
      <c r="E8" s="314">
        <f>SUM(E5:E7)</f>
        <v>0.014374999999999999</v>
      </c>
      <c r="F8" s="314">
        <f>SUM(F5:F7)</f>
        <v>0.014837962962962963</v>
      </c>
      <c r="G8" s="314">
        <f>SUM(G5:G7)</f>
        <v>0.0</v>
      </c>
      <c r="H8" s="314">
        <f>SUM(H5:H7)</f>
        <v>0.006388888888888889</v>
      </c>
      <c r="I8" s="314">
        <f>SUM(I5:I7)</f>
        <v>4.62962962962963E-4</v>
      </c>
      <c r="J8" s="314">
        <f>SUM(J5:J7)</f>
        <v>0.006851851851851854</v>
      </c>
      <c r="K8" s="314">
        <f>SUM(K5:K7)</f>
        <v>0.00884259259259259</v>
      </c>
      <c r="L8" s="314">
        <f>SUM(L5:L7)</f>
        <v>0.011689814814814811</v>
      </c>
    </row>
    <row r="9" spans="8:8" s="185" ht="14.4" customFormat="1">
      <c r="N9" s="333">
        <v>0.00121527777777778</v>
      </c>
      <c r="O9" s="333">
        <v>0.0236111111111111</v>
      </c>
      <c r="P9" s="333">
        <v>0.0107638888888889</v>
      </c>
      <c r="Q9" s="176"/>
    </row>
    <row r="10" spans="8:8" s="185" ht="14.7" customFormat="1">
      <c r="N10" s="333">
        <v>0.0035648148148148145</v>
      </c>
      <c r="O10" s="333">
        <f>J8+N9</f>
        <v>0.00806712962962963</v>
      </c>
      <c r="P10" s="333">
        <v>0.00954861111111111</v>
      </c>
      <c r="Q10" s="176"/>
    </row>
    <row r="11" spans="8:8" s="185" ht="16.35" customFormat="1">
      <c r="A11" s="54" t="s">
        <v>11</v>
      </c>
      <c r="B11" s="55"/>
      <c r="C11" s="55"/>
      <c r="D11" s="55"/>
      <c r="E11" s="56"/>
      <c r="G11" s="78" t="s">
        <v>19</v>
      </c>
      <c r="H11" s="79"/>
      <c r="I11" s="79"/>
      <c r="J11" s="79"/>
      <c r="K11" s="80"/>
      <c r="N11" s="176"/>
      <c r="O11" s="176"/>
      <c r="P11" s="333">
        <v>0.00104166666666667</v>
      </c>
      <c r="Q11" s="176"/>
    </row>
    <row r="12" spans="8:8" s="185" ht="16.75" customFormat="1">
      <c r="A12" s="60" t="s">
        <v>12</v>
      </c>
      <c r="B12" s="61"/>
      <c r="C12" s="61" t="s">
        <v>13</v>
      </c>
      <c r="D12" s="62" t="s">
        <v>14</v>
      </c>
      <c r="E12" s="63" t="s">
        <v>15</v>
      </c>
      <c r="G12" s="85" t="s">
        <v>59</v>
      </c>
      <c r="H12" s="86"/>
      <c r="I12" s="86"/>
      <c r="J12" s="86"/>
      <c r="K12" s="87"/>
      <c r="N12" s="334">
        <v>0.020833333333333332</v>
      </c>
      <c r="O12" s="176"/>
      <c r="P12" s="333">
        <v>0.00104166666666667</v>
      </c>
      <c r="Q12" s="176"/>
    </row>
    <row r="13" spans="8:8" s="185" ht="16.35" customFormat="1">
      <c r="A13" s="64"/>
      <c r="B13" s="65"/>
      <c r="C13" s="65"/>
      <c r="D13" s="66"/>
      <c r="E13" s="67"/>
      <c r="G13" s="91"/>
      <c r="H13" s="92"/>
      <c r="I13" s="92"/>
      <c r="J13" s="92"/>
      <c r="K13" s="93"/>
      <c r="N13" s="176"/>
      <c r="O13" s="176"/>
      <c r="P13" s="176"/>
      <c r="Q13" s="176"/>
    </row>
    <row r="14" spans="8:8" s="185" ht="15.6" customFormat="1">
      <c r="A14" s="64" t="s">
        <v>16</v>
      </c>
      <c r="B14" s="65"/>
      <c r="C14" s="68">
        <v>4.96</v>
      </c>
      <c r="D14" s="69">
        <v>43.0</v>
      </c>
      <c r="E14" s="70">
        <f>C14*D14</f>
        <v>213.28</v>
      </c>
      <c r="G14" s="98" t="s">
        <v>26</v>
      </c>
      <c r="H14" s="99"/>
      <c r="I14" s="99"/>
      <c r="J14" s="99" t="s">
        <v>27</v>
      </c>
      <c r="K14" s="100"/>
      <c r="N14" s="176"/>
      <c r="O14" s="176"/>
      <c r="P14" s="176"/>
      <c r="Q14" s="176"/>
    </row>
    <row r="15" spans="8:8" s="185" ht="15.6" customFormat="1">
      <c r="A15" s="64" t="s">
        <v>17</v>
      </c>
      <c r="B15" s="65"/>
      <c r="C15" s="68">
        <v>4.96</v>
      </c>
      <c r="D15" s="69">
        <v>42.0</v>
      </c>
      <c r="E15" s="70">
        <f>C15*D15</f>
        <v>208.32</v>
      </c>
      <c r="G15" s="102"/>
      <c r="H15" s="103"/>
      <c r="I15" s="103"/>
      <c r="J15" s="103"/>
      <c r="K15" s="104"/>
      <c r="N15" s="176"/>
      <c r="O15" s="176"/>
      <c r="P15" s="176"/>
      <c r="Q15" s="176"/>
    </row>
    <row r="16" spans="8:8" s="185" ht="19.8" customFormat="1">
      <c r="A16" s="74" t="s">
        <v>18</v>
      </c>
      <c r="B16" s="75"/>
      <c r="C16" s="75"/>
      <c r="D16" s="76">
        <f>SUM(D14:D15)</f>
        <v>85.0</v>
      </c>
      <c r="E16" s="77">
        <f>SUM(E14:E15)</f>
        <v>421.6</v>
      </c>
      <c r="G16" s="108" t="s">
        <v>30</v>
      </c>
      <c r="H16" s="109"/>
      <c r="I16" s="109"/>
      <c r="J16" s="110" t="s">
        <v>31</v>
      </c>
      <c r="K16" s="111"/>
      <c r="L16" s="314">
        <v>0.0073148148148148165</v>
      </c>
    </row>
    <row r="17" spans="8:8" s="185" ht="16.75" customFormat="1">
      <c r="A17" s="81" t="s">
        <v>20</v>
      </c>
      <c r="B17" s="82"/>
      <c r="C17" s="82"/>
      <c r="D17" s="82"/>
      <c r="E17" s="83"/>
      <c r="L17" s="314">
        <v>0.0073148148148148165</v>
      </c>
    </row>
    <row r="18" spans="8:8" s="185" ht="16.75" customFormat="1">
      <c r="A18" s="88" t="s">
        <v>23</v>
      </c>
      <c r="B18" s="89" t="s">
        <v>61</v>
      </c>
      <c r="C18" s="89" t="s">
        <v>24</v>
      </c>
      <c r="D18" s="89"/>
      <c r="E18" s="90" t="s">
        <v>25</v>
      </c>
      <c r="L18" s="333">
        <v>0.0017824074074074075</v>
      </c>
    </row>
    <row r="19" spans="8:8" s="185" ht="15.6" customFormat="1">
      <c r="A19" s="94" t="s">
        <v>10</v>
      </c>
      <c r="B19" s="95" t="s">
        <v>2</v>
      </c>
      <c r="C19" s="21">
        <v>0.333333333333333</v>
      </c>
      <c r="D19" s="21"/>
      <c r="E19" s="22">
        <v>0.833333333333333</v>
      </c>
      <c r="H19" s="176"/>
      <c r="I19" s="176"/>
    </row>
    <row r="20" spans="8:8" s="185" ht="15.6" customFormat="1">
      <c r="A20" s="101" t="s">
        <v>2</v>
      </c>
      <c r="B20" s="95" t="s">
        <v>10</v>
      </c>
      <c r="C20" s="21">
        <v>0.333854166666667</v>
      </c>
      <c r="D20" s="21"/>
      <c r="E20" s="22">
        <v>0.833333333333333</v>
      </c>
      <c r="H20" s="176">
        <v>799.0</v>
      </c>
      <c r="I20" s="204" t="s">
        <v>54</v>
      </c>
    </row>
    <row r="21" spans="8:8" s="185" ht="16.75" customFormat="1">
      <c r="A21" s="101" t="s">
        <v>28</v>
      </c>
      <c r="B21" s="95" t="s">
        <v>10</v>
      </c>
      <c r="C21" s="21">
        <v>0.25</v>
      </c>
      <c r="D21" s="21"/>
      <c r="E21" s="22">
        <v>0.761805555555556</v>
      </c>
      <c r="H21" s="176">
        <v>798.0</v>
      </c>
      <c r="I21" s="205" t="s">
        <v>53</v>
      </c>
    </row>
    <row r="22" spans="8:8" s="185" ht="16.35" customFormat="1">
      <c r="A22" s="112" t="s">
        <v>32</v>
      </c>
      <c r="B22" s="113" t="s">
        <v>10</v>
      </c>
      <c r="C22" s="109">
        <v>0.25</v>
      </c>
      <c r="D22" s="109"/>
      <c r="E22" s="114">
        <v>0.75625</v>
      </c>
      <c r="H22" s="176"/>
      <c r="I22" s="176"/>
    </row>
    <row r="23" spans="8:8" s="185" ht="14.4" customFormat="1">
      <c r="B23" s="283"/>
    </row>
    <row r="24" spans="8:8" s="185" ht="14.4" customFormat="1">
      <c r="B24" s="283"/>
    </row>
    <row r="25" spans="8:8" s="185" ht="14.4" customFormat="1">
      <c r="B25" s="283"/>
    </row>
    <row r="26" spans="8:8" s="185" ht="14.4" customFormat="1">
      <c r="B26" s="283"/>
    </row>
    <row r="27" spans="8:8" s="185" ht="14.4" customFormat="1">
      <c r="B27" s="283"/>
    </row>
    <row r="28" spans="8:8" s="185" ht="14.4" customFormat="1">
      <c r="B28" s="283"/>
    </row>
    <row r="29" spans="8:8" s="185" ht="14.4" customFormat="1">
      <c r="B29" s="283"/>
    </row>
    <row r="30" spans="8:8" s="185" ht="14.4" customFormat="1">
      <c r="B30" s="283"/>
    </row>
    <row r="31" spans="8:8" s="185" ht="14.4" customFormat="1">
      <c r="B31" s="283"/>
    </row>
    <row r="32" spans="8:8" s="185" ht="14.4" customFormat="1">
      <c r="B32" s="283"/>
    </row>
    <row r="33" spans="8:8" s="185" ht="14.4" customFormat="1">
      <c r="B33" s="283"/>
    </row>
    <row r="34" spans="8:8" s="185" ht="14.4" customFormat="1">
      <c r="B34" s="283"/>
    </row>
    <row r="35" spans="8:8" s="185" ht="14.4" customFormat="1">
      <c r="B35" s="283"/>
    </row>
    <row r="36" spans="8:8" s="185" ht="14.4" customFormat="1">
      <c r="B36" s="283"/>
    </row>
    <row r="37" spans="8:8" s="185" ht="14.4" customFormat="1">
      <c r="B37" s="283"/>
    </row>
    <row r="38" spans="8:8" s="185" ht="14.4" customFormat="1">
      <c r="B38" s="283"/>
    </row>
    <row r="39" spans="8:8" s="185" ht="14.4" customFormat="1">
      <c r="B39" s="283"/>
    </row>
    <row r="40" spans="8:8" s="185" ht="14.4" customFormat="1">
      <c r="B40" s="283"/>
    </row>
    <row r="41" spans="8:8" s="185" ht="14.4" customFormat="1">
      <c r="B41" s="283"/>
    </row>
    <row r="42" spans="8:8" s="185" ht="14.4" customFormat="1">
      <c r="B42" s="283"/>
    </row>
    <row r="43" spans="8:8" s="185" ht="14.4" customFormat="1">
      <c r="B43" s="283"/>
    </row>
    <row r="44" spans="8:8" s="185" ht="14.4" customFormat="1">
      <c r="B44" s="283"/>
    </row>
    <row r="45" spans="8:8" s="185" ht="14.4" customFormat="1">
      <c r="B45" s="283"/>
    </row>
    <row r="46" spans="8:8" s="185" ht="14.4" customFormat="1">
      <c r="B46" s="283"/>
    </row>
    <row r="47" spans="8:8" s="185" ht="14.4" customFormat="1">
      <c r="B47" s="283"/>
    </row>
    <row r="48" spans="8:8" s="185" ht="14.4" customFormat="1">
      <c r="B48" s="283"/>
    </row>
    <row r="49" spans="8:8" s="185" ht="14.4" customFormat="1">
      <c r="B49" s="283"/>
    </row>
    <row r="50" spans="8:8" s="185" ht="14.4" customFormat="1">
      <c r="B50" s="283"/>
    </row>
    <row r="51" spans="8:8" s="185" ht="14.4" customFormat="1">
      <c r="B51" s="283"/>
    </row>
    <row r="52" spans="8:8" s="185" ht="14.4" customFormat="1">
      <c r="B52" s="283"/>
    </row>
    <row r="53" spans="8:8" s="185" ht="14.4" customFormat="1">
      <c r="B53" s="283"/>
    </row>
    <row r="54" spans="8:8" s="185" ht="14.4" customFormat="1">
      <c r="B54" s="283"/>
    </row>
    <row r="55" spans="8:8" s="185" ht="14.4" customFormat="1">
      <c r="B55" s="283"/>
    </row>
    <row r="56" spans="8:8" s="185" ht="14.4" customFormat="1">
      <c r="B56" s="283"/>
    </row>
    <row r="57" spans="8:8" s="185" ht="14.4" customFormat="1">
      <c r="B57" s="283"/>
    </row>
    <row r="58" spans="8:8" s="185" ht="14.4" customFormat="1">
      <c r="B58" s="283"/>
    </row>
    <row r="59" spans="8:8" s="185" ht="14.4" customFormat="1">
      <c r="B59" s="283"/>
    </row>
    <row r="60" spans="8:8" s="185" ht="14.4" customFormat="1">
      <c r="B60" s="283"/>
    </row>
    <row r="61" spans="8:8" s="185" ht="14.4" customFormat="1">
      <c r="B61" s="283"/>
    </row>
    <row r="62" spans="8:8" s="185" ht="14.4" customFormat="1">
      <c r="B62" s="283"/>
    </row>
    <row r="63" spans="8:8" s="185" ht="14.4" customFormat="1">
      <c r="B63" s="283"/>
    </row>
    <row r="64" spans="8:8" s="185" ht="14.4" customFormat="1">
      <c r="B64" s="283"/>
    </row>
    <row r="65" spans="8:8" s="185" ht="14.4" customFormat="1">
      <c r="B65" s="283"/>
    </row>
    <row r="66" spans="8:8" s="185" ht="14.4" customFormat="1">
      <c r="B66" s="283"/>
    </row>
    <row r="67" spans="8:8" s="185" ht="14.4" customFormat="1">
      <c r="B67" s="283"/>
    </row>
  </sheetData>
  <mergeCells count="36">
    <mergeCell ref="A1:L1"/>
    <mergeCell ref="A12:B13"/>
    <mergeCell ref="G13:K13"/>
    <mergeCell ref="E12:E13"/>
    <mergeCell ref="K3:K4"/>
    <mergeCell ref="A17:E17"/>
    <mergeCell ref="C19:D19"/>
    <mergeCell ref="C18:D18"/>
    <mergeCell ref="C22:D22"/>
    <mergeCell ref="C21:D21"/>
    <mergeCell ref="J14:K15"/>
    <mergeCell ref="B2:F2"/>
    <mergeCell ref="L3:L4"/>
    <mergeCell ref="A11:E11"/>
    <mergeCell ref="G14:I15"/>
    <mergeCell ref="G2:J2"/>
    <mergeCell ref="A15:B15"/>
    <mergeCell ref="J16:K16"/>
    <mergeCell ref="C20:D20"/>
    <mergeCell ref="J3:J4"/>
    <mergeCell ref="A2:A4"/>
    <mergeCell ref="G12:K12"/>
    <mergeCell ref="A16:C16"/>
    <mergeCell ref="B3:B4"/>
    <mergeCell ref="G11:K11"/>
    <mergeCell ref="I3:I4"/>
    <mergeCell ref="C12:C13"/>
    <mergeCell ref="E3:E4"/>
    <mergeCell ref="G3:G4"/>
    <mergeCell ref="C3:C4"/>
    <mergeCell ref="D12:D13"/>
    <mergeCell ref="F3:F4"/>
    <mergeCell ref="D3:D4"/>
    <mergeCell ref="A14:B14"/>
    <mergeCell ref="H3:H4"/>
    <mergeCell ref="G16:I16"/>
  </mergeCells>
  <conditionalFormatting sqref="A16">
    <cfRule type="containsText" text="MKPD" operator="containsText" priority="2" dxfId="215">
      <formula>NOT(ISERROR(SEARCH("MKPD",A16)))</formula>
    </cfRule>
    <cfRule type="containsText" text="VND" operator="containsText" priority="1" dxfId="216">
      <formula>NOT(ISERROR(SEARCH("VND",A16)))</formula>
    </cfRule>
    <cfRule type="containsText" text="MKPR 3RD" operator="containsText" priority="3" dxfId="217">
      <formula>NOT(ISERROR(SEARCH("MKPR 3RD",A16)))</formula>
    </cfRule>
  </conditionalFormatting>
  <pageMargins left="0.68" right="0.17" top="0.26" bottom="0.18" header="0.26" footer="0.18"/>
  <pageSetup paperSize="9" scale="6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131"/>
  <sheetViews>
    <sheetView workbookViewId="0">
      <pane ySplit="3" topLeftCell="A27" state="frozen" activePane="bottomLeft"/>
      <selection pane="bottomLeft" activeCell="D22" sqref="D22"/>
    </sheetView>
  </sheetViews>
  <sheetFormatPr defaultRowHeight="13.8" defaultColWidth="9"/>
  <cols>
    <col min="1" max="1" customWidth="0" width="9.136719" style="115"/>
    <col min="2" max="2" customWidth="1" width="8.425781" style="116"/>
    <col min="3" max="3" customWidth="1" width="8.136719" style="116"/>
    <col min="4" max="4" customWidth="1" width="9.7109375" style="116"/>
    <col min="5" max="5" customWidth="1" width="12.136719" style="116"/>
    <col min="6" max="6" customWidth="1" width="18.109375" style="116"/>
    <col min="7" max="7" customWidth="1" width="20.886719" style="116"/>
    <col min="8" max="8" customWidth="1" width="20.109375" style="116"/>
    <col min="9" max="9" customWidth="1" width="24.554688" style="116"/>
    <col min="10" max="10" customWidth="1" width="21.886719" style="116"/>
    <col min="11" max="16384" customWidth="0" width="9.136719" style="116"/>
  </cols>
  <sheetData>
    <row r="1" spans="8:8" ht="24.95" customHeight="1">
      <c r="A1" s="335" t="s">
        <v>170</v>
      </c>
      <c r="B1" s="336"/>
      <c r="C1" s="336"/>
      <c r="D1" s="336"/>
      <c r="E1" s="336"/>
      <c r="F1" s="336"/>
      <c r="G1" s="336"/>
      <c r="H1" s="337"/>
      <c r="I1" s="120" t="s">
        <v>34</v>
      </c>
      <c r="J1" s="121"/>
    </row>
    <row r="2" spans="8:8" ht="28.0" customHeight="1">
      <c r="A2" s="122" t="s">
        <v>35</v>
      </c>
      <c r="B2" s="123" t="s">
        <v>36</v>
      </c>
      <c r="C2" s="122" t="s">
        <v>37</v>
      </c>
      <c r="D2" s="124" t="s">
        <v>38</v>
      </c>
      <c r="E2" s="124"/>
      <c r="F2" s="124"/>
      <c r="G2" s="122" t="s">
        <v>39</v>
      </c>
      <c r="H2" s="122" t="s">
        <v>40</v>
      </c>
      <c r="I2" s="125" t="s">
        <v>41</v>
      </c>
      <c r="J2" s="126"/>
    </row>
    <row r="3" spans="8:8" ht="15.0" customHeight="1">
      <c r="A3" s="122"/>
      <c r="B3" s="123"/>
      <c r="C3" s="122"/>
      <c r="D3" s="124" t="s">
        <v>42</v>
      </c>
      <c r="E3" s="122" t="s">
        <v>43</v>
      </c>
      <c r="F3" s="124" t="s">
        <v>44</v>
      </c>
      <c r="G3" s="122"/>
      <c r="H3" s="122"/>
      <c r="I3" s="127"/>
      <c r="J3" s="128"/>
    </row>
    <row r="4" spans="8:8" ht="15.0" customHeight="1">
      <c r="A4" s="122"/>
      <c r="B4" s="123"/>
      <c r="C4" s="122"/>
      <c r="D4" s="124"/>
      <c r="E4" s="122"/>
      <c r="F4" s="124"/>
      <c r="G4" s="122"/>
      <c r="H4" s="122"/>
      <c r="I4" s="127" t="s">
        <v>171</v>
      </c>
      <c r="J4" s="128" t="s">
        <v>52</v>
      </c>
    </row>
    <row r="5" spans="8:8" ht="25.0" customHeight="1">
      <c r="A5" s="115">
        <v>1.0</v>
      </c>
      <c r="B5" s="338">
        <v>798.0</v>
      </c>
      <c r="C5" s="115"/>
      <c r="D5" s="115" t="s">
        <v>2</v>
      </c>
      <c r="E5" s="115"/>
      <c r="F5" s="115"/>
      <c r="G5" s="130" t="s">
        <v>172</v>
      </c>
      <c r="H5" s="115"/>
      <c r="I5" s="135"/>
      <c r="J5" s="132"/>
    </row>
    <row r="6" spans="8:8" ht="25.0" customHeight="1">
      <c r="A6" s="115">
        <v>2.0</v>
      </c>
      <c r="B6" s="338">
        <v>799.0</v>
      </c>
      <c r="C6" s="115"/>
      <c r="D6" s="133" t="s">
        <v>69</v>
      </c>
      <c r="E6" s="115"/>
      <c r="F6" s="115"/>
      <c r="G6" s="130" t="s">
        <v>173</v>
      </c>
      <c r="H6" s="115"/>
      <c r="I6" s="135"/>
      <c r="J6" s="339"/>
    </row>
    <row r="7" spans="8:8" ht="25.0" customHeight="1">
      <c r="A7" s="115">
        <v>3.0</v>
      </c>
      <c r="B7" s="338">
        <v>798.0</v>
      </c>
      <c r="C7" s="115"/>
      <c r="D7" s="115" t="s">
        <v>56</v>
      </c>
      <c r="E7" s="136"/>
      <c r="F7" s="115"/>
      <c r="G7" s="130" t="s">
        <v>174</v>
      </c>
      <c r="H7" s="115"/>
      <c r="I7" s="135"/>
      <c r="J7" s="132"/>
    </row>
    <row r="8" spans="8:8" ht="25.0" customHeight="1">
      <c r="A8" s="115">
        <v>4.0</v>
      </c>
      <c r="B8" s="338">
        <v>799.0</v>
      </c>
      <c r="C8" s="115"/>
      <c r="D8" s="133" t="s">
        <v>10</v>
      </c>
      <c r="E8" s="134"/>
      <c r="F8" s="115"/>
      <c r="G8" s="130" t="s">
        <v>175</v>
      </c>
      <c r="H8" s="115"/>
      <c r="I8" s="135"/>
      <c r="J8" s="339"/>
    </row>
    <row r="9" spans="8:8" ht="25.0" customHeight="1">
      <c r="A9" s="115">
        <v>5.0</v>
      </c>
      <c r="B9" s="338">
        <v>798.0</v>
      </c>
      <c r="C9" s="115"/>
      <c r="D9" s="115" t="s">
        <v>2</v>
      </c>
      <c r="E9" s="136"/>
      <c r="F9" s="115"/>
      <c r="G9" s="130" t="s">
        <v>172</v>
      </c>
      <c r="H9" s="115"/>
      <c r="I9" s="135"/>
      <c r="J9" s="132"/>
    </row>
    <row r="10" spans="8:8" ht="25.0" customHeight="1">
      <c r="A10" s="115">
        <v>6.0</v>
      </c>
      <c r="B10" s="338">
        <v>799.0</v>
      </c>
      <c r="C10" s="115"/>
      <c r="D10" s="133" t="s">
        <v>69</v>
      </c>
      <c r="E10" s="134"/>
      <c r="F10" s="115"/>
      <c r="G10" s="130" t="s">
        <v>173</v>
      </c>
      <c r="H10" s="115"/>
      <c r="I10" s="135"/>
      <c r="J10" s="339"/>
    </row>
    <row r="11" spans="8:8" ht="25.0" customHeight="1">
      <c r="A11" s="115">
        <v>7.0</v>
      </c>
      <c r="B11" s="338">
        <v>798.0</v>
      </c>
      <c r="C11" s="115"/>
      <c r="D11" s="115" t="s">
        <v>56</v>
      </c>
      <c r="E11" s="136"/>
      <c r="F11" s="115"/>
      <c r="G11" s="130" t="s">
        <v>174</v>
      </c>
      <c r="H11" s="115"/>
      <c r="I11" s="135"/>
      <c r="J11" s="132"/>
    </row>
    <row r="12" spans="8:8" ht="25.0" customHeight="1">
      <c r="A12" s="115">
        <v>8.0</v>
      </c>
      <c r="B12" s="338">
        <v>799.0</v>
      </c>
      <c r="C12" s="115"/>
      <c r="D12" s="133" t="s">
        <v>10</v>
      </c>
      <c r="E12" s="134"/>
      <c r="F12" s="115"/>
      <c r="G12" s="130" t="s">
        <v>175</v>
      </c>
      <c r="H12" s="115"/>
      <c r="I12" s="135"/>
      <c r="J12" s="339"/>
    </row>
    <row r="13" spans="8:8" ht="25.0" customHeight="1">
      <c r="A13" s="115">
        <v>9.0</v>
      </c>
      <c r="B13" s="338">
        <v>798.0</v>
      </c>
      <c r="C13" s="115"/>
      <c r="D13" s="115" t="s">
        <v>2</v>
      </c>
      <c r="E13" s="136"/>
      <c r="F13" s="115"/>
      <c r="G13" s="130" t="s">
        <v>172</v>
      </c>
      <c r="H13" s="115"/>
      <c r="I13" s="135"/>
      <c r="J13" s="132"/>
    </row>
    <row r="14" spans="8:8" ht="25.0" customHeight="1">
      <c r="A14" s="115">
        <v>10.0</v>
      </c>
      <c r="B14" s="338">
        <v>799.0</v>
      </c>
      <c r="C14" s="115"/>
      <c r="D14" s="133" t="s">
        <v>69</v>
      </c>
      <c r="E14" s="134"/>
      <c r="F14" s="115"/>
      <c r="G14" s="130" t="s">
        <v>173</v>
      </c>
      <c r="H14" s="115"/>
      <c r="I14" s="135"/>
      <c r="J14" s="339"/>
    </row>
    <row r="15" spans="8:8" ht="25.0" customHeight="1">
      <c r="A15" s="115">
        <v>11.0</v>
      </c>
      <c r="B15" s="338">
        <v>798.0</v>
      </c>
      <c r="C15" s="115"/>
      <c r="D15" s="115" t="s">
        <v>56</v>
      </c>
      <c r="E15" s="136"/>
      <c r="F15" s="115"/>
      <c r="G15" s="130" t="s">
        <v>174</v>
      </c>
      <c r="H15" s="115"/>
      <c r="I15" s="135"/>
      <c r="J15" s="132"/>
    </row>
    <row r="16" spans="8:8" ht="25.0" customHeight="1">
      <c r="A16" s="115">
        <v>12.0</v>
      </c>
      <c r="B16" s="338">
        <v>799.0</v>
      </c>
      <c r="C16" s="115"/>
      <c r="D16" s="133" t="s">
        <v>10</v>
      </c>
      <c r="E16" s="134"/>
      <c r="F16" s="115"/>
      <c r="G16" s="130" t="s">
        <v>175</v>
      </c>
      <c r="H16" s="115"/>
      <c r="I16" s="135"/>
      <c r="J16" s="339"/>
    </row>
    <row r="17" spans="8:8" ht="25.0" customHeight="1">
      <c r="A17" s="115">
        <v>13.0</v>
      </c>
      <c r="B17" s="338">
        <v>798.0</v>
      </c>
      <c r="C17" s="115"/>
      <c r="D17" s="115" t="s">
        <v>2</v>
      </c>
      <c r="E17" s="136"/>
      <c r="F17" s="115"/>
      <c r="G17" s="130" t="s">
        <v>172</v>
      </c>
      <c r="H17" s="115"/>
      <c r="I17" s="135"/>
      <c r="J17" s="132"/>
    </row>
    <row r="18" spans="8:8" ht="25.0" customHeight="1">
      <c r="A18" s="115">
        <v>14.0</v>
      </c>
      <c r="B18" s="338">
        <v>799.0</v>
      </c>
      <c r="C18" s="115"/>
      <c r="D18" s="133" t="s">
        <v>69</v>
      </c>
      <c r="E18" s="134"/>
      <c r="F18" s="115"/>
      <c r="G18" s="130" t="s">
        <v>173</v>
      </c>
      <c r="H18" s="115"/>
      <c r="I18" s="135"/>
      <c r="J18" s="339"/>
    </row>
    <row r="19" spans="8:8" ht="25.0" customHeight="1">
      <c r="A19" s="115">
        <v>15.0</v>
      </c>
      <c r="B19" s="338">
        <v>798.0</v>
      </c>
      <c r="C19" s="115"/>
      <c r="D19" s="115" t="s">
        <v>56</v>
      </c>
      <c r="E19" s="136"/>
      <c r="F19" s="115"/>
      <c r="G19" s="130" t="s">
        <v>174</v>
      </c>
      <c r="H19" s="115"/>
      <c r="I19" s="135"/>
      <c r="J19" s="132"/>
    </row>
    <row r="20" spans="8:8" ht="25.0" customHeight="1">
      <c r="A20" s="115">
        <v>16.0</v>
      </c>
      <c r="B20" s="338">
        <v>799.0</v>
      </c>
      <c r="C20" s="115"/>
      <c r="D20" s="133" t="s">
        <v>10</v>
      </c>
      <c r="E20" s="134"/>
      <c r="F20" s="115"/>
      <c r="G20" s="130" t="s">
        <v>175</v>
      </c>
      <c r="H20" s="115"/>
      <c r="I20" s="135"/>
      <c r="J20" s="339"/>
    </row>
    <row r="21" spans="8:8" ht="25.0" customHeight="1">
      <c r="A21" s="115">
        <v>17.0</v>
      </c>
      <c r="B21" s="338">
        <v>798.0</v>
      </c>
      <c r="C21" s="115"/>
      <c r="D21" s="115" t="s">
        <v>2</v>
      </c>
      <c r="E21" s="136"/>
      <c r="F21" s="115"/>
      <c r="G21" s="130" t="s">
        <v>172</v>
      </c>
      <c r="H21" s="115"/>
      <c r="I21" s="135"/>
      <c r="J21" s="132"/>
    </row>
    <row r="22" spans="8:8" ht="25.0" customHeight="1">
      <c r="A22" s="115">
        <v>18.0</v>
      </c>
      <c r="B22" s="338">
        <v>799.0</v>
      </c>
      <c r="C22" s="115"/>
      <c r="D22" s="133" t="s">
        <v>69</v>
      </c>
      <c r="E22" s="134"/>
      <c r="F22" s="115"/>
      <c r="G22" s="130" t="s">
        <v>173</v>
      </c>
      <c r="H22" s="115"/>
      <c r="I22" s="135"/>
      <c r="J22" s="339"/>
    </row>
    <row r="23" spans="8:8" ht="25.0" customHeight="1">
      <c r="A23" s="115">
        <v>19.0</v>
      </c>
      <c r="B23" s="338">
        <v>798.0</v>
      </c>
      <c r="C23" s="115"/>
      <c r="D23" s="115" t="s">
        <v>2</v>
      </c>
      <c r="E23" s="136"/>
      <c r="F23" s="115"/>
      <c r="G23" s="130" t="s">
        <v>174</v>
      </c>
      <c r="H23" s="115"/>
      <c r="I23" s="135"/>
      <c r="J23" s="132"/>
    </row>
    <row r="24" spans="8:8" ht="25.0" customHeight="1">
      <c r="A24" s="115">
        <v>20.0</v>
      </c>
      <c r="B24" s="338">
        <v>799.0</v>
      </c>
      <c r="C24" s="115"/>
      <c r="D24" s="133" t="s">
        <v>69</v>
      </c>
      <c r="E24" s="134"/>
      <c r="F24" s="115"/>
      <c r="G24" s="130" t="s">
        <v>175</v>
      </c>
      <c r="H24" s="115"/>
      <c r="I24" s="135"/>
      <c r="J24" s="339"/>
    </row>
    <row r="25" spans="8:8" ht="25.0" customHeight="1">
      <c r="A25" s="115">
        <v>21.0</v>
      </c>
      <c r="B25" s="338">
        <v>798.0</v>
      </c>
      <c r="C25" s="115"/>
      <c r="D25" s="115" t="s">
        <v>56</v>
      </c>
      <c r="E25" s="136"/>
      <c r="F25" s="115"/>
      <c r="G25" s="130" t="s">
        <v>172</v>
      </c>
      <c r="H25" s="115"/>
      <c r="I25" s="135"/>
      <c r="J25" s="132"/>
    </row>
    <row r="26" spans="8:8" ht="25.0" customHeight="1">
      <c r="A26" s="115">
        <v>22.0</v>
      </c>
      <c r="B26" s="338">
        <v>799.0</v>
      </c>
      <c r="C26" s="115"/>
      <c r="D26" s="133" t="s">
        <v>10</v>
      </c>
      <c r="E26" s="134"/>
      <c r="F26" s="115"/>
      <c r="G26" s="130" t="s">
        <v>173</v>
      </c>
      <c r="H26" s="115"/>
      <c r="I26" s="135"/>
      <c r="J26" s="339"/>
    </row>
    <row r="27" spans="8:8" ht="25.0" customHeight="1">
      <c r="A27" s="115">
        <v>23.0</v>
      </c>
      <c r="B27" s="338">
        <v>798.0</v>
      </c>
      <c r="C27" s="115"/>
      <c r="D27" s="115" t="s">
        <v>2</v>
      </c>
      <c r="E27" s="136"/>
      <c r="F27" s="115"/>
      <c r="G27" s="130" t="s">
        <v>174</v>
      </c>
      <c r="H27" s="115"/>
      <c r="I27" s="135"/>
      <c r="J27" s="132"/>
    </row>
    <row r="28" spans="8:8" ht="25.0" customHeight="1">
      <c r="A28" s="115">
        <v>24.0</v>
      </c>
      <c r="B28" s="338">
        <v>799.0</v>
      </c>
      <c r="C28" s="115"/>
      <c r="D28" s="133" t="s">
        <v>69</v>
      </c>
      <c r="E28" s="134"/>
      <c r="F28" s="115"/>
      <c r="G28" s="130" t="s">
        <v>175</v>
      </c>
      <c r="H28" s="115"/>
      <c r="I28" s="135"/>
      <c r="J28" s="339"/>
    </row>
    <row r="29" spans="8:8" ht="25.0" customHeight="1">
      <c r="A29" s="115">
        <v>25.0</v>
      </c>
      <c r="B29" s="338">
        <v>798.0</v>
      </c>
      <c r="C29" s="115"/>
      <c r="D29" s="115" t="s">
        <v>56</v>
      </c>
      <c r="E29" s="136"/>
      <c r="F29" s="115"/>
      <c r="G29" s="130" t="s">
        <v>172</v>
      </c>
      <c r="H29" s="115"/>
      <c r="I29" s="135"/>
      <c r="J29" s="132"/>
    </row>
    <row r="30" spans="8:8" ht="25.0" customHeight="1">
      <c r="A30" s="115">
        <v>26.0</v>
      </c>
      <c r="B30" s="338">
        <v>799.0</v>
      </c>
      <c r="C30" s="115"/>
      <c r="D30" s="133" t="s">
        <v>10</v>
      </c>
      <c r="E30" s="134"/>
      <c r="F30" s="115"/>
      <c r="G30" s="130"/>
      <c r="H30" s="115"/>
      <c r="I30" s="135"/>
      <c r="J30" s="339"/>
    </row>
    <row r="31" spans="8:8" ht="25.0" customHeight="1">
      <c r="A31" s="115">
        <v>27.0</v>
      </c>
      <c r="B31" s="338">
        <v>798.0</v>
      </c>
      <c r="C31" s="115"/>
      <c r="D31" s="115" t="s">
        <v>2</v>
      </c>
      <c r="E31" s="136"/>
      <c r="F31" s="115"/>
      <c r="G31" s="130"/>
      <c r="H31" s="115"/>
      <c r="I31" s="135"/>
      <c r="J31" s="132"/>
    </row>
    <row r="32" spans="8:8" ht="25.0" customHeight="1">
      <c r="A32" s="115">
        <v>28.0</v>
      </c>
      <c r="B32" s="338">
        <v>799.0</v>
      </c>
      <c r="C32" s="115"/>
      <c r="D32" s="133" t="s">
        <v>69</v>
      </c>
      <c r="E32" s="134"/>
      <c r="F32" s="115"/>
      <c r="G32" s="130"/>
      <c r="H32" s="115"/>
      <c r="I32" s="135"/>
      <c r="J32" s="339"/>
    </row>
    <row r="33" spans="8:8" ht="25.0" customHeight="1">
      <c r="A33" s="115">
        <v>29.0</v>
      </c>
      <c r="B33" s="338">
        <v>798.0</v>
      </c>
      <c r="C33" s="115"/>
      <c r="D33" s="115" t="s">
        <v>2</v>
      </c>
      <c r="E33" s="136"/>
      <c r="F33" s="115"/>
      <c r="G33" s="130"/>
      <c r="H33" s="115"/>
      <c r="I33" s="135"/>
      <c r="J33" s="132"/>
    </row>
    <row r="34" spans="8:8" ht="25.0" customHeight="1">
      <c r="A34" s="115">
        <v>30.0</v>
      </c>
      <c r="B34" s="338">
        <v>799.0</v>
      </c>
      <c r="C34" s="115"/>
      <c r="D34" s="133" t="s">
        <v>69</v>
      </c>
      <c r="E34" s="134"/>
      <c r="F34" s="115"/>
      <c r="G34" s="130"/>
      <c r="H34" s="115"/>
      <c r="I34" s="135"/>
      <c r="J34" s="339"/>
    </row>
    <row r="35" spans="8:8" ht="25.0" customHeight="1">
      <c r="A35" s="115">
        <v>31.0</v>
      </c>
      <c r="B35" s="338">
        <v>798.0</v>
      </c>
      <c r="C35" s="115"/>
      <c r="D35" s="115" t="s">
        <v>56</v>
      </c>
      <c r="E35" s="136"/>
      <c r="F35" s="115"/>
      <c r="G35" s="130"/>
      <c r="H35" s="115"/>
      <c r="I35" s="135"/>
      <c r="J35" s="132"/>
    </row>
    <row r="36" spans="8:8" ht="25.0" customHeight="1">
      <c r="A36" s="115">
        <v>32.0</v>
      </c>
      <c r="B36" s="338">
        <v>799.0</v>
      </c>
      <c r="C36" s="115"/>
      <c r="D36" s="133" t="s">
        <v>10</v>
      </c>
      <c r="E36" s="134"/>
      <c r="F36" s="115"/>
      <c r="G36" s="130"/>
      <c r="H36" s="115"/>
      <c r="I36" s="135"/>
      <c r="J36" s="339"/>
    </row>
    <row r="37" spans="8:8" ht="25.0" customHeight="1">
      <c r="A37" s="115">
        <v>33.0</v>
      </c>
      <c r="B37" s="338">
        <v>798.0</v>
      </c>
      <c r="C37" s="115"/>
      <c r="D37" s="115" t="s">
        <v>2</v>
      </c>
      <c r="E37" s="136"/>
      <c r="F37" s="115"/>
      <c r="G37" s="130"/>
      <c r="H37" s="115"/>
      <c r="I37" s="135"/>
      <c r="J37" s="132"/>
    </row>
    <row r="38" spans="8:8" ht="25.0" customHeight="1">
      <c r="A38" s="115">
        <v>34.0</v>
      </c>
      <c r="B38" s="338">
        <v>799.0</v>
      </c>
      <c r="C38" s="115"/>
      <c r="D38" s="133" t="s">
        <v>69</v>
      </c>
      <c r="E38" s="134"/>
      <c r="F38" s="115"/>
      <c r="G38" s="130"/>
      <c r="H38" s="115"/>
      <c r="I38" s="135"/>
      <c r="J38" s="339"/>
    </row>
    <row r="39" spans="8:8" ht="25.0" customHeight="1">
      <c r="A39" s="115">
        <v>35.0</v>
      </c>
      <c r="B39" s="338">
        <v>798.0</v>
      </c>
      <c r="C39" s="115"/>
      <c r="D39" s="115" t="s">
        <v>56</v>
      </c>
      <c r="E39" s="136"/>
      <c r="F39" s="115"/>
      <c r="G39" s="130"/>
      <c r="H39" s="115"/>
      <c r="I39" s="135"/>
      <c r="J39" s="132"/>
    </row>
    <row r="40" spans="8:8" ht="25.0" customHeight="1">
      <c r="A40" s="115">
        <v>36.0</v>
      </c>
      <c r="B40" s="338">
        <v>799.0</v>
      </c>
      <c r="C40" s="115"/>
      <c r="D40" s="133" t="s">
        <v>10</v>
      </c>
      <c r="E40" s="134"/>
      <c r="F40" s="115"/>
      <c r="G40" s="130"/>
      <c r="H40" s="115"/>
      <c r="I40" s="135"/>
      <c r="J40" s="339"/>
    </row>
    <row r="41" spans="8:8" ht="25.0" customHeight="1">
      <c r="A41" s="115">
        <v>37.0</v>
      </c>
      <c r="B41" s="338">
        <v>798.0</v>
      </c>
      <c r="C41" s="115"/>
      <c r="D41" s="115" t="s">
        <v>2</v>
      </c>
      <c r="E41" s="136"/>
      <c r="F41" s="115"/>
      <c r="G41" s="130"/>
      <c r="H41" s="115"/>
      <c r="I41" s="135"/>
      <c r="J41" s="132"/>
    </row>
    <row r="42" spans="8:8" ht="25.0" customHeight="1">
      <c r="A42" s="115">
        <v>38.0</v>
      </c>
      <c r="B42" s="338">
        <v>799.0</v>
      </c>
      <c r="C42" s="115"/>
      <c r="D42" s="133" t="s">
        <v>69</v>
      </c>
      <c r="E42" s="134"/>
      <c r="F42" s="115"/>
      <c r="G42" s="130"/>
      <c r="H42" s="115"/>
      <c r="I42" s="135"/>
      <c r="J42" s="339"/>
    </row>
    <row r="43" spans="8:8" ht="25.0" customHeight="1">
      <c r="A43" s="115">
        <v>39.0</v>
      </c>
      <c r="B43" s="338">
        <v>798.0</v>
      </c>
      <c r="C43" s="115"/>
      <c r="D43" s="115" t="s">
        <v>2</v>
      </c>
      <c r="E43" s="136"/>
      <c r="F43" s="115"/>
      <c r="G43" s="130"/>
      <c r="H43" s="115"/>
      <c r="I43" s="135"/>
      <c r="J43" s="132"/>
    </row>
    <row r="44" spans="8:8" ht="25.0" customHeight="1">
      <c r="A44" s="115">
        <v>40.0</v>
      </c>
      <c r="B44" s="338">
        <v>799.0</v>
      </c>
      <c r="C44" s="115"/>
      <c r="D44" s="133" t="s">
        <v>69</v>
      </c>
      <c r="E44" s="134"/>
      <c r="F44" s="115"/>
      <c r="G44" s="130"/>
      <c r="H44" s="115"/>
      <c r="I44" s="135"/>
      <c r="J44" s="339"/>
    </row>
    <row r="45" spans="8:8" ht="25.0" customHeight="1">
      <c r="A45" s="115">
        <v>41.0</v>
      </c>
      <c r="B45" s="338">
        <v>798.0</v>
      </c>
      <c r="C45" s="115"/>
      <c r="D45" s="115" t="s">
        <v>56</v>
      </c>
      <c r="E45" s="136"/>
      <c r="F45" s="115"/>
      <c r="G45" s="130"/>
      <c r="H45" s="115"/>
      <c r="I45" s="135"/>
      <c r="J45" s="132"/>
    </row>
    <row r="46" spans="8:8" ht="25.0" customHeight="1">
      <c r="A46" s="115">
        <v>42.0</v>
      </c>
      <c r="B46" s="338">
        <v>799.0</v>
      </c>
      <c r="C46" s="115"/>
      <c r="D46" s="133" t="s">
        <v>10</v>
      </c>
      <c r="E46" s="134"/>
      <c r="F46" s="115"/>
      <c r="G46" s="130"/>
      <c r="H46" s="115"/>
      <c r="I46" s="135"/>
      <c r="J46" s="339"/>
    </row>
    <row r="47" spans="8:8" ht="25.0" customHeight="1">
      <c r="A47" s="115">
        <v>43.0</v>
      </c>
      <c r="B47" s="338">
        <v>798.0</v>
      </c>
      <c r="C47" s="115"/>
      <c r="D47" s="115" t="s">
        <v>2</v>
      </c>
      <c r="E47" s="136"/>
      <c r="F47" s="115"/>
      <c r="G47" s="130"/>
      <c r="H47" s="115"/>
      <c r="I47" s="135"/>
      <c r="J47" s="132"/>
    </row>
    <row r="48" spans="8:8" ht="25.0" customHeight="1">
      <c r="A48" s="115">
        <v>44.0</v>
      </c>
      <c r="B48" s="338">
        <v>799.0</v>
      </c>
      <c r="C48" s="115"/>
      <c r="D48" s="133" t="s">
        <v>69</v>
      </c>
      <c r="E48" s="134"/>
      <c r="F48" s="115"/>
      <c r="G48" s="130"/>
      <c r="H48" s="115"/>
      <c r="I48" s="135"/>
      <c r="J48" s="339"/>
    </row>
    <row r="49" spans="8:8" ht="25.0" customHeight="1">
      <c r="A49" s="115">
        <v>45.0</v>
      </c>
      <c r="B49" s="338">
        <v>798.0</v>
      </c>
      <c r="C49" s="115"/>
      <c r="D49" s="115" t="s">
        <v>56</v>
      </c>
      <c r="E49" s="136"/>
      <c r="F49" s="115"/>
      <c r="G49" s="130"/>
      <c r="H49" s="115"/>
      <c r="I49" s="135"/>
      <c r="J49" s="132"/>
    </row>
    <row r="50" spans="8:8" ht="25.0" customHeight="1">
      <c r="A50" s="115">
        <v>46.0</v>
      </c>
      <c r="B50" s="338">
        <v>799.0</v>
      </c>
      <c r="C50" s="115"/>
      <c r="D50" s="133" t="s">
        <v>10</v>
      </c>
      <c r="E50" s="134"/>
      <c r="F50" s="115"/>
      <c r="G50" s="130"/>
      <c r="H50" s="115"/>
      <c r="I50" s="135"/>
      <c r="J50" s="339"/>
    </row>
    <row r="51" spans="8:8" ht="25.0" customHeight="1">
      <c r="A51" s="115">
        <v>47.0</v>
      </c>
      <c r="B51" s="338">
        <v>798.0</v>
      </c>
      <c r="C51" s="115"/>
      <c r="D51" s="115" t="s">
        <v>2</v>
      </c>
      <c r="E51" s="136"/>
      <c r="F51" s="115"/>
      <c r="G51" s="130"/>
      <c r="H51" s="115"/>
      <c r="I51" s="135"/>
      <c r="J51" s="132"/>
    </row>
    <row r="52" spans="8:8" ht="25.0" customHeight="1">
      <c r="A52" s="115">
        <v>48.0</v>
      </c>
      <c r="B52" s="338">
        <v>799.0</v>
      </c>
      <c r="C52" s="115"/>
      <c r="D52" s="133" t="s">
        <v>69</v>
      </c>
      <c r="E52" s="134"/>
      <c r="F52" s="115"/>
      <c r="G52" s="130"/>
      <c r="H52" s="115"/>
      <c r="I52" s="135"/>
      <c r="J52" s="339"/>
    </row>
    <row r="53" spans="8:8" ht="25.0" customHeight="1">
      <c r="A53" s="115">
        <v>49.0</v>
      </c>
      <c r="B53" s="338">
        <v>799.0</v>
      </c>
      <c r="C53" s="115"/>
      <c r="D53" s="115" t="s">
        <v>56</v>
      </c>
      <c r="E53" s="136"/>
      <c r="F53" s="115"/>
      <c r="G53" s="130"/>
      <c r="H53" s="115"/>
      <c r="I53" s="135"/>
      <c r="J53" s="132"/>
    </row>
    <row r="54" spans="8:8" ht="25.0" customHeight="1">
      <c r="A54" s="115">
        <v>51.0</v>
      </c>
      <c r="B54" s="338">
        <v>799.0</v>
      </c>
      <c r="C54" s="115"/>
      <c r="D54" s="133" t="s">
        <v>10</v>
      </c>
      <c r="E54" s="134"/>
      <c r="F54" s="115"/>
      <c r="G54" s="130"/>
      <c r="H54" s="115"/>
      <c r="I54" s="135"/>
      <c r="J54" s="339"/>
    </row>
    <row r="55" spans="8:8" ht="25.0" customHeight="1">
      <c r="A55" s="115">
        <v>52.0</v>
      </c>
      <c r="B55" s="338">
        <v>799.0</v>
      </c>
      <c r="C55" s="115"/>
      <c r="D55" s="115" t="s">
        <v>2</v>
      </c>
      <c r="E55" s="136"/>
      <c r="F55" s="115"/>
      <c r="G55" s="130"/>
      <c r="H55" s="115"/>
      <c r="I55" s="135"/>
      <c r="J55" s="132"/>
    </row>
    <row r="56" spans="8:8" ht="25.0" customHeight="1">
      <c r="A56" s="115">
        <v>53.0</v>
      </c>
      <c r="B56" s="338">
        <v>799.0</v>
      </c>
      <c r="C56" s="115"/>
      <c r="D56" s="133" t="s">
        <v>69</v>
      </c>
      <c r="E56" s="134"/>
      <c r="F56" s="115"/>
      <c r="G56" s="130"/>
      <c r="H56" s="115"/>
      <c r="I56" s="135"/>
      <c r="J56" s="339"/>
    </row>
    <row r="57" spans="8:8" ht="25.0" customHeight="1">
      <c r="A57" s="115">
        <v>54.0</v>
      </c>
      <c r="B57" s="338">
        <v>799.0</v>
      </c>
      <c r="C57" s="115"/>
      <c r="D57" s="115" t="s">
        <v>56</v>
      </c>
      <c r="E57" s="136"/>
      <c r="F57" s="115"/>
      <c r="G57" s="130"/>
      <c r="H57" s="115"/>
      <c r="I57" s="135"/>
      <c r="J57" s="132"/>
    </row>
    <row r="58" spans="8:8" ht="25.0" customHeight="1">
      <c r="A58" s="115">
        <v>55.0</v>
      </c>
      <c r="B58" s="338">
        <v>799.0</v>
      </c>
      <c r="C58" s="115"/>
      <c r="D58" s="133" t="s">
        <v>10</v>
      </c>
      <c r="E58" s="134"/>
      <c r="F58" s="115"/>
      <c r="G58" s="130"/>
      <c r="H58" s="115"/>
      <c r="I58" s="135"/>
      <c r="J58" s="339"/>
    </row>
    <row r="59" spans="8:8" ht="25.0" customHeight="1">
      <c r="A59" s="115">
        <v>56.0</v>
      </c>
      <c r="B59" s="338">
        <v>799.0</v>
      </c>
      <c r="C59" s="115"/>
      <c r="D59" s="115" t="s">
        <v>2</v>
      </c>
      <c r="E59" s="136"/>
      <c r="F59" s="115"/>
      <c r="G59" s="130"/>
      <c r="H59" s="115"/>
      <c r="I59" s="135"/>
      <c r="J59" s="132"/>
    </row>
    <row r="60" spans="8:8" ht="25.0" customHeight="1">
      <c r="A60" s="115">
        <v>57.0</v>
      </c>
      <c r="B60" s="338">
        <v>799.0</v>
      </c>
      <c r="C60" s="115"/>
      <c r="D60" s="133" t="s">
        <v>69</v>
      </c>
      <c r="E60" s="134"/>
      <c r="F60" s="115"/>
      <c r="G60" s="130"/>
      <c r="H60" s="115"/>
      <c r="I60" s="135"/>
      <c r="J60" s="339"/>
    </row>
    <row r="61" spans="8:8" ht="25.0" customHeight="1">
      <c r="A61" s="115">
        <v>58.0</v>
      </c>
      <c r="B61" s="338">
        <v>799.0</v>
      </c>
      <c r="C61" s="115"/>
      <c r="D61" s="115" t="s">
        <v>56</v>
      </c>
      <c r="E61" s="136"/>
      <c r="F61" s="115"/>
      <c r="G61" s="130"/>
      <c r="H61" s="115"/>
      <c r="I61" s="135"/>
      <c r="J61" s="132"/>
    </row>
    <row r="62" spans="8:8" ht="25.0" customHeight="1">
      <c r="A62" s="115">
        <v>59.0</v>
      </c>
      <c r="B62" s="338">
        <v>799.0</v>
      </c>
      <c r="C62" s="115"/>
      <c r="D62" s="133" t="s">
        <v>10</v>
      </c>
      <c r="E62" s="134"/>
      <c r="F62" s="115"/>
      <c r="G62" s="130"/>
      <c r="H62" s="115"/>
      <c r="I62" s="135"/>
      <c r="J62" s="339"/>
    </row>
    <row r="63" spans="8:8" ht="25.0" customHeight="1">
      <c r="A63" s="115">
        <v>60.0</v>
      </c>
      <c r="B63" s="338">
        <v>799.0</v>
      </c>
      <c r="C63" s="115"/>
      <c r="D63" s="115" t="s">
        <v>2</v>
      </c>
      <c r="E63" s="136"/>
      <c r="F63" s="115"/>
      <c r="G63" s="130"/>
      <c r="H63" s="115"/>
      <c r="I63" s="135"/>
      <c r="J63" s="132"/>
    </row>
    <row r="64" spans="8:8" ht="25.0" customHeight="1">
      <c r="A64" s="115">
        <v>61.0</v>
      </c>
      <c r="B64" s="338">
        <v>799.0</v>
      </c>
      <c r="C64" s="115"/>
      <c r="D64" s="133" t="s">
        <v>69</v>
      </c>
      <c r="E64" s="134"/>
      <c r="F64" s="115"/>
      <c r="G64" s="130"/>
      <c r="H64" s="115"/>
      <c r="I64" s="135"/>
      <c r="J64" s="339"/>
    </row>
    <row r="65" spans="8:8" ht="25.0" customHeight="1">
      <c r="A65" s="115">
        <v>62.0</v>
      </c>
      <c r="B65" s="338">
        <v>799.0</v>
      </c>
      <c r="C65" s="115"/>
      <c r="D65" s="115" t="s">
        <v>2</v>
      </c>
      <c r="E65" s="136"/>
      <c r="F65" s="115"/>
      <c r="G65" s="130"/>
      <c r="H65" s="115"/>
      <c r="I65" s="135"/>
      <c r="J65" s="132"/>
    </row>
    <row r="66" spans="8:8" ht="25.0" customHeight="1">
      <c r="A66" s="115">
        <v>63.0</v>
      </c>
      <c r="B66" s="338">
        <v>799.0</v>
      </c>
      <c r="C66" s="115"/>
      <c r="D66" s="133" t="s">
        <v>69</v>
      </c>
      <c r="E66" s="134"/>
      <c r="F66" s="115"/>
      <c r="G66" s="130"/>
      <c r="H66" s="115"/>
      <c r="I66" s="135"/>
      <c r="J66" s="339"/>
    </row>
    <row r="67" spans="8:8" ht="25.0" customHeight="1">
      <c r="A67" s="115">
        <v>64.0</v>
      </c>
      <c r="B67" s="338">
        <v>799.0</v>
      </c>
      <c r="C67" s="115"/>
      <c r="D67" s="115" t="s">
        <v>56</v>
      </c>
      <c r="E67" s="136"/>
      <c r="F67" s="115"/>
      <c r="G67" s="130"/>
      <c r="H67" s="115"/>
      <c r="I67" s="135"/>
      <c r="J67" s="132"/>
    </row>
    <row r="68" spans="8:8" ht="25.0" customHeight="1">
      <c r="A68" s="115">
        <v>65.0</v>
      </c>
      <c r="B68" s="338">
        <v>799.0</v>
      </c>
      <c r="C68" s="115"/>
      <c r="D68" s="133" t="s">
        <v>10</v>
      </c>
      <c r="E68" s="134"/>
      <c r="F68" s="115"/>
      <c r="G68" s="130"/>
      <c r="H68" s="115"/>
      <c r="I68" s="135"/>
      <c r="J68" s="339"/>
    </row>
    <row r="69" spans="8:8" ht="15.0">
      <c r="A69" s="115">
        <v>66.0</v>
      </c>
      <c r="B69" s="338">
        <v>799.0</v>
      </c>
      <c r="C69" s="115"/>
      <c r="D69" s="115" t="s">
        <v>2</v>
      </c>
      <c r="E69" s="136"/>
      <c r="F69" s="115"/>
      <c r="G69" s="130"/>
      <c r="H69" s="115"/>
      <c r="I69" s="135"/>
      <c r="J69" s="132"/>
    </row>
    <row r="70" spans="8:8" ht="15.0">
      <c r="A70" s="115">
        <v>67.0</v>
      </c>
      <c r="B70" s="338">
        <v>799.0</v>
      </c>
      <c r="C70" s="115"/>
      <c r="D70" s="133" t="s">
        <v>69</v>
      </c>
      <c r="E70" s="134"/>
      <c r="F70" s="115"/>
      <c r="G70" s="130"/>
      <c r="H70" s="115"/>
      <c r="I70" s="135"/>
      <c r="J70" s="339"/>
    </row>
    <row r="71" spans="8:8" ht="15.0">
      <c r="A71" s="115">
        <v>68.0</v>
      </c>
      <c r="B71" s="338">
        <v>799.0</v>
      </c>
      <c r="C71" s="115"/>
      <c r="D71" s="115" t="s">
        <v>56</v>
      </c>
      <c r="E71" s="136"/>
      <c r="F71" s="115"/>
      <c r="G71" s="130"/>
      <c r="H71" s="115"/>
      <c r="I71" s="135"/>
      <c r="J71" s="132"/>
    </row>
    <row r="72" spans="8:8" ht="15.0">
      <c r="A72" s="115">
        <v>69.0</v>
      </c>
      <c r="B72" s="338">
        <v>799.0</v>
      </c>
      <c r="C72" s="115"/>
      <c r="D72" s="133" t="s">
        <v>10</v>
      </c>
      <c r="E72" s="134"/>
      <c r="F72" s="115"/>
      <c r="G72" s="130"/>
      <c r="H72" s="115"/>
      <c r="I72" s="135"/>
      <c r="J72" s="339"/>
    </row>
    <row r="73" spans="8:8" ht="15.0">
      <c r="A73" s="115">
        <v>70.0</v>
      </c>
      <c r="B73" s="338">
        <v>799.0</v>
      </c>
      <c r="C73" s="115"/>
      <c r="D73" s="115" t="s">
        <v>2</v>
      </c>
      <c r="E73" s="136"/>
      <c r="F73" s="115"/>
      <c r="G73" s="130"/>
      <c r="H73" s="115"/>
      <c r="I73" s="135"/>
      <c r="J73" s="132"/>
    </row>
    <row r="74" spans="8:8" ht="15.0">
      <c r="A74" s="115">
        <v>71.0</v>
      </c>
      <c r="B74" s="338">
        <v>799.0</v>
      </c>
      <c r="C74" s="115"/>
      <c r="D74" s="133" t="s">
        <v>69</v>
      </c>
      <c r="E74" s="134"/>
      <c r="F74" s="115"/>
      <c r="G74" s="130"/>
      <c r="H74" s="115"/>
      <c r="I74" s="135"/>
      <c r="J74" s="339"/>
    </row>
    <row r="75" spans="8:8" ht="15.0">
      <c r="A75" s="115">
        <v>72.0</v>
      </c>
      <c r="B75" s="338">
        <v>799.0</v>
      </c>
      <c r="C75" s="115"/>
      <c r="D75" s="115" t="s">
        <v>2</v>
      </c>
      <c r="E75" s="136"/>
      <c r="F75" s="115"/>
      <c r="G75" s="130"/>
      <c r="H75" s="115"/>
      <c r="I75" s="135"/>
      <c r="J75" s="132"/>
    </row>
    <row r="76" spans="8:8" ht="15.0">
      <c r="A76" s="115">
        <v>73.0</v>
      </c>
      <c r="B76" s="338">
        <v>799.0</v>
      </c>
      <c r="C76" s="115"/>
      <c r="D76" s="133" t="s">
        <v>69</v>
      </c>
      <c r="E76" s="134"/>
      <c r="F76" s="115"/>
      <c r="G76" s="130"/>
      <c r="H76" s="115"/>
      <c r="I76" s="135"/>
      <c r="J76" s="339"/>
    </row>
    <row r="77" spans="8:8" ht="15.0">
      <c r="A77" s="115">
        <v>74.0</v>
      </c>
      <c r="B77" s="338">
        <v>799.0</v>
      </c>
      <c r="C77" s="115"/>
      <c r="D77" s="115" t="s">
        <v>56</v>
      </c>
      <c r="E77" s="136"/>
      <c r="F77" s="115"/>
      <c r="G77" s="130"/>
      <c r="H77" s="115"/>
      <c r="I77" s="135"/>
      <c r="J77" s="132"/>
    </row>
    <row r="78" spans="8:8" ht="15.0">
      <c r="A78" s="115">
        <v>75.0</v>
      </c>
      <c r="B78" s="338">
        <v>799.0</v>
      </c>
      <c r="C78" s="115"/>
      <c r="D78" s="133" t="s">
        <v>10</v>
      </c>
      <c r="E78" s="134"/>
      <c r="F78" s="115"/>
      <c r="G78" s="130"/>
      <c r="H78" s="115"/>
      <c r="I78" s="135"/>
      <c r="J78" s="339"/>
    </row>
    <row r="79" spans="8:8" ht="15.0">
      <c r="A79" s="115">
        <v>76.0</v>
      </c>
      <c r="B79" s="338">
        <v>799.0</v>
      </c>
      <c r="C79" s="115"/>
      <c r="D79" s="115" t="s">
        <v>2</v>
      </c>
      <c r="E79" s="136"/>
      <c r="F79" s="115"/>
      <c r="G79" s="130"/>
      <c r="H79" s="115"/>
      <c r="I79" s="135"/>
      <c r="J79" s="132"/>
    </row>
    <row r="80" spans="8:8" ht="15.0">
      <c r="A80" s="115">
        <v>77.0</v>
      </c>
      <c r="B80" s="338">
        <v>799.0</v>
      </c>
      <c r="C80" s="115"/>
      <c r="D80" s="133" t="s">
        <v>69</v>
      </c>
      <c r="E80" s="134"/>
      <c r="F80" s="115"/>
      <c r="G80" s="130"/>
      <c r="H80" s="115"/>
      <c r="I80" s="135"/>
      <c r="J80" s="339"/>
    </row>
    <row r="81" spans="8:8" ht="15.0">
      <c r="A81" s="115">
        <v>78.0</v>
      </c>
      <c r="B81" s="338">
        <v>799.0</v>
      </c>
      <c r="C81" s="115"/>
      <c r="D81" s="115" t="s">
        <v>56</v>
      </c>
      <c r="E81" s="136"/>
      <c r="F81" s="115"/>
      <c r="G81" s="130"/>
      <c r="H81" s="115"/>
      <c r="I81" s="135"/>
      <c r="J81" s="132"/>
    </row>
    <row r="82" spans="8:8" ht="15.0">
      <c r="A82" s="115">
        <v>79.0</v>
      </c>
      <c r="B82" s="338">
        <v>799.0</v>
      </c>
      <c r="C82" s="115"/>
      <c r="D82" s="133" t="s">
        <v>10</v>
      </c>
      <c r="E82" s="134"/>
      <c r="F82" s="115"/>
      <c r="G82" s="130"/>
      <c r="H82" s="115"/>
      <c r="I82" s="135"/>
      <c r="J82" s="339"/>
    </row>
    <row r="83" spans="8:8" ht="15.0">
      <c r="A83" s="115">
        <v>80.0</v>
      </c>
      <c r="B83" s="338">
        <v>799.0</v>
      </c>
      <c r="C83" s="115"/>
      <c r="D83" s="115" t="s">
        <v>2</v>
      </c>
      <c r="E83" s="136"/>
      <c r="F83" s="115"/>
      <c r="G83" s="130"/>
      <c r="H83" s="115"/>
      <c r="I83" s="135"/>
      <c r="J83" s="132"/>
    </row>
    <row r="84" spans="8:8" ht="15.0">
      <c r="A84" s="115">
        <v>81.0</v>
      </c>
      <c r="B84" s="338">
        <v>799.0</v>
      </c>
      <c r="C84" s="115"/>
      <c r="D84" s="133" t="s">
        <v>69</v>
      </c>
      <c r="E84" s="134"/>
      <c r="F84" s="115"/>
      <c r="G84" s="130"/>
      <c r="H84" s="115"/>
      <c r="I84" s="135"/>
      <c r="J84" s="339"/>
    </row>
    <row r="85" spans="8:8" ht="15.0">
      <c r="A85" s="115">
        <v>82.0</v>
      </c>
      <c r="B85" s="338">
        <v>799.0</v>
      </c>
      <c r="C85" s="115"/>
      <c r="D85" s="115" t="s">
        <v>2</v>
      </c>
      <c r="E85" s="136"/>
      <c r="F85" s="115"/>
      <c r="G85" s="130"/>
      <c r="H85" s="115"/>
      <c r="I85" s="135"/>
      <c r="J85" s="132"/>
    </row>
    <row r="86" spans="8:8" ht="15.0">
      <c r="A86" s="115">
        <v>83.0</v>
      </c>
      <c r="B86" s="338">
        <v>799.0</v>
      </c>
      <c r="C86" s="115"/>
      <c r="D86" s="133" t="s">
        <v>69</v>
      </c>
      <c r="E86" s="134"/>
      <c r="F86" s="115"/>
      <c r="G86" s="130"/>
      <c r="H86" s="115"/>
      <c r="I86" s="135"/>
      <c r="J86" s="339"/>
    </row>
    <row r="87" spans="8:8" ht="15.0">
      <c r="A87" s="115">
        <v>84.0</v>
      </c>
      <c r="B87" s="338">
        <v>799.0</v>
      </c>
      <c r="C87" s="115"/>
      <c r="D87" s="115" t="s">
        <v>56</v>
      </c>
      <c r="E87" s="136"/>
      <c r="F87" s="115"/>
      <c r="G87" s="130"/>
      <c r="H87" s="115"/>
      <c r="I87" s="135"/>
      <c r="J87" s="132"/>
    </row>
    <row r="88" spans="8:8" ht="15.0">
      <c r="A88" s="115">
        <v>85.0</v>
      </c>
      <c r="B88" s="338">
        <v>799.0</v>
      </c>
      <c r="C88" s="115"/>
      <c r="D88" s="133" t="s">
        <v>10</v>
      </c>
      <c r="E88" s="134"/>
      <c r="F88" s="115"/>
      <c r="G88" s="130"/>
      <c r="H88" s="115"/>
      <c r="I88" s="135"/>
      <c r="J88" s="339"/>
    </row>
    <row r="89" spans="8:8" ht="15.0">
      <c r="A89" s="115">
        <v>86.0</v>
      </c>
      <c r="B89" s="338">
        <v>799.0</v>
      </c>
      <c r="C89" s="115"/>
      <c r="D89" s="115" t="s">
        <v>2</v>
      </c>
      <c r="E89" s="136"/>
      <c r="F89" s="115"/>
      <c r="G89" s="130"/>
      <c r="H89" s="115"/>
      <c r="I89" s="135"/>
      <c r="J89" s="132"/>
    </row>
    <row r="90" spans="8:8" ht="15.0">
      <c r="A90" s="115">
        <v>87.0</v>
      </c>
      <c r="B90" s="338">
        <v>799.0</v>
      </c>
      <c r="C90" s="115"/>
      <c r="D90" s="133" t="s">
        <v>69</v>
      </c>
      <c r="E90" s="134"/>
      <c r="F90" s="115"/>
      <c r="G90" s="130"/>
      <c r="H90" s="115"/>
      <c r="I90" s="135"/>
      <c r="J90" s="339"/>
    </row>
    <row r="91" spans="8:8" ht="15.0">
      <c r="A91" s="115">
        <v>88.0</v>
      </c>
      <c r="B91" s="338">
        <v>799.0</v>
      </c>
      <c r="C91" s="115"/>
      <c r="D91" s="115" t="s">
        <v>56</v>
      </c>
      <c r="E91" s="136"/>
      <c r="F91" s="115"/>
      <c r="G91" s="130"/>
      <c r="H91" s="115"/>
      <c r="I91" s="135"/>
      <c r="J91" s="132"/>
    </row>
    <row r="92" spans="8:8" ht="15.0">
      <c r="A92" s="115">
        <v>89.0</v>
      </c>
      <c r="B92" s="338">
        <v>799.0</v>
      </c>
      <c r="C92" s="115"/>
      <c r="D92" s="133" t="s">
        <v>10</v>
      </c>
      <c r="E92" s="134"/>
      <c r="F92" s="115"/>
      <c r="G92" s="130"/>
      <c r="H92" s="115"/>
      <c r="I92" s="135"/>
      <c r="J92" s="339"/>
    </row>
    <row r="93" spans="8:8" ht="15.0">
      <c r="A93" s="115">
        <v>90.0</v>
      </c>
      <c r="B93" s="338">
        <v>799.0</v>
      </c>
      <c r="C93" s="115"/>
      <c r="D93" s="115" t="s">
        <v>2</v>
      </c>
      <c r="E93" s="136"/>
      <c r="F93" s="115"/>
      <c r="G93" s="130"/>
      <c r="H93" s="115"/>
      <c r="I93" s="135"/>
      <c r="J93" s="132"/>
    </row>
    <row r="94" spans="8:8" ht="15.0">
      <c r="A94" s="115">
        <v>91.0</v>
      </c>
      <c r="B94" s="338">
        <v>799.0</v>
      </c>
      <c r="C94" s="115"/>
      <c r="D94" s="133" t="s">
        <v>69</v>
      </c>
      <c r="E94" s="134"/>
      <c r="F94" s="115"/>
      <c r="G94" s="130"/>
      <c r="H94" s="115"/>
      <c r="I94" s="135"/>
      <c r="J94" s="339"/>
    </row>
    <row r="95" spans="8:8" ht="15.0">
      <c r="A95" s="115">
        <v>92.0</v>
      </c>
      <c r="B95" s="338">
        <v>799.0</v>
      </c>
      <c r="C95" s="115"/>
      <c r="D95" s="115" t="s">
        <v>56</v>
      </c>
      <c r="E95" s="136"/>
      <c r="F95" s="115"/>
      <c r="G95" s="130"/>
      <c r="H95" s="115"/>
      <c r="I95" s="135"/>
      <c r="J95" s="132"/>
    </row>
    <row r="96" spans="8:8" ht="15.0">
      <c r="A96" s="115">
        <v>93.0</v>
      </c>
      <c r="B96" s="338">
        <v>799.0</v>
      </c>
      <c r="C96" s="115"/>
      <c r="D96" s="133" t="s">
        <v>10</v>
      </c>
      <c r="E96" s="134"/>
      <c r="F96" s="115"/>
      <c r="G96" s="130"/>
      <c r="H96" s="115"/>
      <c r="I96" s="135"/>
      <c r="J96" s="339"/>
    </row>
    <row r="97" spans="8:8" ht="15.0">
      <c r="A97" s="115">
        <v>94.0</v>
      </c>
      <c r="B97" s="338">
        <v>799.0</v>
      </c>
      <c r="C97" s="115"/>
      <c r="D97" s="115" t="s">
        <v>2</v>
      </c>
      <c r="E97" s="136"/>
      <c r="F97" s="115"/>
      <c r="G97" s="130"/>
      <c r="H97" s="115"/>
      <c r="I97" s="135"/>
      <c r="J97" s="132"/>
    </row>
    <row r="98" spans="8:8" ht="15.0">
      <c r="A98" s="115">
        <v>95.0</v>
      </c>
      <c r="B98" s="338">
        <v>799.0</v>
      </c>
      <c r="C98" s="115"/>
      <c r="D98" s="133" t="s">
        <v>69</v>
      </c>
      <c r="E98" s="134"/>
      <c r="F98" s="115"/>
      <c r="G98" s="130"/>
      <c r="H98" s="115"/>
      <c r="I98" s="135"/>
      <c r="J98" s="339"/>
    </row>
    <row r="99" spans="8:8" ht="15.0">
      <c r="A99" s="115">
        <v>96.0</v>
      </c>
      <c r="B99" s="338">
        <v>799.0</v>
      </c>
      <c r="C99" s="115"/>
      <c r="D99" s="115" t="s">
        <v>56</v>
      </c>
      <c r="E99" s="136"/>
      <c r="F99" s="115"/>
      <c r="G99" s="130"/>
      <c r="H99" s="115"/>
      <c r="I99" s="135"/>
      <c r="J99" s="132"/>
    </row>
    <row r="100" spans="8:8" ht="15.0">
      <c r="A100" s="115">
        <v>97.0</v>
      </c>
      <c r="B100" s="338">
        <v>799.0</v>
      </c>
      <c r="C100" s="115"/>
      <c r="D100" s="133" t="s">
        <v>10</v>
      </c>
      <c r="E100" s="134"/>
      <c r="F100" s="115"/>
      <c r="G100" s="130"/>
      <c r="H100" s="115"/>
      <c r="I100" s="135"/>
      <c r="J100" s="339"/>
    </row>
    <row r="101" spans="8:8" ht="15.0">
      <c r="A101" s="115">
        <v>98.0</v>
      </c>
      <c r="B101" s="338">
        <v>799.0</v>
      </c>
      <c r="C101" s="115"/>
      <c r="D101" s="115" t="s">
        <v>2</v>
      </c>
      <c r="E101" s="136"/>
      <c r="F101" s="115"/>
      <c r="G101" s="130"/>
      <c r="H101" s="115"/>
      <c r="I101" s="135"/>
      <c r="J101" s="132"/>
    </row>
    <row r="102" spans="8:8" ht="15.0">
      <c r="A102" s="115">
        <v>99.0</v>
      </c>
      <c r="B102" s="338">
        <v>799.0</v>
      </c>
      <c r="C102" s="115"/>
      <c r="D102" s="133" t="s">
        <v>69</v>
      </c>
      <c r="E102" s="134"/>
      <c r="F102" s="115"/>
      <c r="G102" s="130"/>
      <c r="H102" s="115"/>
      <c r="I102" s="135"/>
      <c r="J102" s="339"/>
    </row>
    <row r="103" spans="8:8" ht="15.0">
      <c r="A103" s="115">
        <v>100.0</v>
      </c>
      <c r="B103" s="338">
        <v>799.0</v>
      </c>
      <c r="C103" s="115"/>
      <c r="D103" s="115" t="s">
        <v>56</v>
      </c>
      <c r="E103" s="136"/>
      <c r="F103" s="115"/>
      <c r="G103" s="130"/>
      <c r="H103" s="115"/>
      <c r="I103" s="135"/>
      <c r="J103" s="132"/>
    </row>
    <row r="104" spans="8:8" ht="15.0">
      <c r="A104" s="115">
        <v>101.0</v>
      </c>
      <c r="B104" s="338">
        <v>799.0</v>
      </c>
      <c r="C104" s="115"/>
      <c r="D104" s="133" t="s">
        <v>10</v>
      </c>
      <c r="E104" s="134"/>
      <c r="F104" s="115"/>
      <c r="G104" s="130"/>
      <c r="H104" s="115"/>
      <c r="I104" s="135"/>
      <c r="J104" s="339"/>
    </row>
    <row r="105" spans="8:8" ht="15.0">
      <c r="A105" s="115">
        <v>102.0</v>
      </c>
      <c r="B105" s="338">
        <v>799.0</v>
      </c>
      <c r="C105" s="115"/>
      <c r="D105" s="115" t="s">
        <v>2</v>
      </c>
      <c r="E105" s="136"/>
      <c r="F105" s="115"/>
      <c r="G105" s="130"/>
      <c r="H105" s="115"/>
      <c r="I105" s="135"/>
      <c r="J105" s="132"/>
    </row>
    <row r="106" spans="8:8" ht="15.0">
      <c r="A106" s="115">
        <v>103.0</v>
      </c>
      <c r="B106" s="338">
        <v>799.0</v>
      </c>
      <c r="C106" s="115"/>
      <c r="D106" s="133" t="s">
        <v>69</v>
      </c>
      <c r="E106" s="134"/>
      <c r="F106" s="115"/>
      <c r="G106" s="130"/>
      <c r="H106" s="115"/>
      <c r="I106" s="135"/>
      <c r="J106" s="339"/>
    </row>
    <row r="107" spans="8:8" ht="15.0">
      <c r="A107" s="115">
        <v>104.0</v>
      </c>
      <c r="B107" s="338">
        <v>799.0</v>
      </c>
      <c r="C107" s="115"/>
      <c r="D107" s="115" t="s">
        <v>2</v>
      </c>
      <c r="E107" s="136"/>
      <c r="F107" s="115"/>
      <c r="G107" s="130"/>
      <c r="H107" s="115"/>
      <c r="I107" s="135"/>
      <c r="J107" s="132"/>
    </row>
    <row r="108" spans="8:8" ht="15.0">
      <c r="A108" s="115">
        <v>105.0</v>
      </c>
      <c r="B108" s="338">
        <v>799.0</v>
      </c>
      <c r="C108" s="115"/>
      <c r="D108" s="133" t="s">
        <v>69</v>
      </c>
      <c r="E108" s="134"/>
      <c r="F108" s="115"/>
      <c r="G108" s="130"/>
      <c r="H108" s="115"/>
      <c r="I108" s="135"/>
      <c r="J108" s="339"/>
    </row>
    <row r="109" spans="8:8" ht="15.0">
      <c r="A109" s="115">
        <v>106.0</v>
      </c>
      <c r="B109" s="338">
        <v>799.0</v>
      </c>
      <c r="C109" s="115"/>
      <c r="D109" s="115" t="s">
        <v>56</v>
      </c>
      <c r="E109" s="136"/>
      <c r="F109" s="115"/>
      <c r="G109" s="130"/>
      <c r="H109" s="115"/>
      <c r="I109" s="135"/>
      <c r="J109" s="132"/>
    </row>
    <row r="110" spans="8:8" ht="15.0">
      <c r="A110" s="115">
        <v>107.0</v>
      </c>
      <c r="B110" s="338">
        <v>799.0</v>
      </c>
      <c r="C110" s="115"/>
      <c r="D110" s="133" t="s">
        <v>10</v>
      </c>
      <c r="E110" s="134"/>
      <c r="F110" s="115"/>
      <c r="G110" s="130"/>
      <c r="H110" s="115"/>
      <c r="I110" s="135"/>
      <c r="J110" s="339"/>
    </row>
    <row r="111" spans="8:8" ht="15.0">
      <c r="A111" s="115">
        <v>108.0</v>
      </c>
      <c r="B111" s="338">
        <v>799.0</v>
      </c>
      <c r="C111" s="115"/>
      <c r="D111" s="115" t="s">
        <v>2</v>
      </c>
      <c r="E111" s="136"/>
      <c r="F111" s="115"/>
      <c r="G111" s="130"/>
      <c r="H111" s="115"/>
      <c r="I111" s="135"/>
      <c r="J111" s="132"/>
    </row>
    <row r="112" spans="8:8" ht="15.0">
      <c r="A112" s="115">
        <v>109.0</v>
      </c>
      <c r="B112" s="338">
        <v>799.0</v>
      </c>
      <c r="C112" s="115"/>
      <c r="D112" s="133" t="s">
        <v>69</v>
      </c>
      <c r="E112" s="134"/>
      <c r="F112" s="115"/>
      <c r="G112" s="130"/>
      <c r="H112" s="115"/>
      <c r="I112" s="135"/>
      <c r="J112" s="339"/>
    </row>
    <row r="113" spans="8:8" ht="15.0">
      <c r="A113" s="115">
        <v>110.0</v>
      </c>
      <c r="B113" s="338">
        <v>799.0</v>
      </c>
      <c r="C113" s="115"/>
      <c r="D113" s="115" t="s">
        <v>56</v>
      </c>
      <c r="E113" s="136"/>
      <c r="F113" s="115"/>
      <c r="G113" s="130"/>
      <c r="H113" s="115"/>
      <c r="I113" s="135"/>
      <c r="J113" s="132"/>
    </row>
    <row r="114" spans="8:8" ht="15.0">
      <c r="A114" s="115">
        <v>111.0</v>
      </c>
      <c r="B114" s="338">
        <v>799.0</v>
      </c>
      <c r="C114" s="115"/>
      <c r="D114" s="133" t="s">
        <v>10</v>
      </c>
      <c r="E114" s="134"/>
      <c r="F114" s="115"/>
      <c r="G114" s="130"/>
      <c r="H114" s="115"/>
      <c r="I114" s="135"/>
      <c r="J114" s="339"/>
    </row>
    <row r="115" spans="8:8" ht="15.0">
      <c r="A115" s="115">
        <v>112.0</v>
      </c>
      <c r="B115" s="338">
        <v>799.0</v>
      </c>
      <c r="C115" s="115"/>
      <c r="D115" s="115" t="s">
        <v>2</v>
      </c>
      <c r="E115" s="136"/>
      <c r="F115" s="115"/>
      <c r="G115" s="130"/>
      <c r="H115" s="115"/>
      <c r="I115" s="135"/>
      <c r="J115" s="132"/>
    </row>
    <row r="116" spans="8:8" ht="15.0">
      <c r="A116" s="115">
        <v>113.0</v>
      </c>
      <c r="B116" s="338">
        <v>799.0</v>
      </c>
      <c r="C116" s="115"/>
      <c r="D116" s="133" t="s">
        <v>69</v>
      </c>
      <c r="E116" s="134"/>
      <c r="F116" s="115"/>
      <c r="G116" s="130"/>
      <c r="H116" s="115"/>
      <c r="I116" s="135"/>
      <c r="J116" s="339"/>
    </row>
    <row r="117" spans="8:8" ht="15.0">
      <c r="A117" s="115">
        <v>114.0</v>
      </c>
      <c r="B117" s="338">
        <v>799.0</v>
      </c>
      <c r="C117" s="115"/>
      <c r="D117" s="115" t="s">
        <v>2</v>
      </c>
      <c r="E117" s="136"/>
      <c r="F117" s="115"/>
      <c r="G117" s="130"/>
      <c r="H117" s="115"/>
      <c r="I117" s="135"/>
      <c r="J117" s="132"/>
    </row>
    <row r="118" spans="8:8" ht="15.0">
      <c r="A118" s="115">
        <v>115.0</v>
      </c>
      <c r="B118" s="338">
        <v>799.0</v>
      </c>
      <c r="C118" s="115"/>
      <c r="D118" s="133" t="s">
        <v>69</v>
      </c>
      <c r="E118" s="134"/>
      <c r="F118" s="115"/>
      <c r="G118" s="130"/>
      <c r="H118" s="115"/>
      <c r="I118" s="135"/>
      <c r="J118" s="339"/>
    </row>
    <row r="119" spans="8:8" ht="15.0">
      <c r="A119" s="115">
        <v>116.0</v>
      </c>
      <c r="B119" s="338">
        <v>799.0</v>
      </c>
      <c r="C119" s="115"/>
      <c r="D119" s="115" t="s">
        <v>56</v>
      </c>
      <c r="E119" s="136"/>
      <c r="F119" s="115"/>
      <c r="G119" s="130"/>
      <c r="H119" s="115"/>
      <c r="I119" s="135"/>
      <c r="J119" s="132"/>
    </row>
    <row r="120" spans="8:8" ht="15.0">
      <c r="A120" s="115">
        <v>117.0</v>
      </c>
      <c r="B120" s="338">
        <v>799.0</v>
      </c>
      <c r="C120" s="115"/>
      <c r="D120" s="133" t="s">
        <v>10</v>
      </c>
      <c r="E120" s="134"/>
      <c r="F120" s="115"/>
      <c r="G120" s="130"/>
      <c r="H120" s="115"/>
      <c r="I120" s="135"/>
      <c r="J120" s="339"/>
    </row>
    <row r="121" spans="8:8" ht="15.0">
      <c r="A121" s="115">
        <v>118.0</v>
      </c>
      <c r="B121" s="338">
        <v>799.0</v>
      </c>
      <c r="C121" s="115"/>
      <c r="D121" s="115" t="s">
        <v>2</v>
      </c>
      <c r="E121" s="136"/>
      <c r="F121" s="115"/>
      <c r="G121" s="130"/>
      <c r="H121" s="115"/>
      <c r="I121" s="135"/>
      <c r="J121" s="132"/>
    </row>
    <row r="122" spans="8:8" ht="15.0">
      <c r="A122" s="115">
        <v>119.0</v>
      </c>
      <c r="B122" s="338">
        <v>799.0</v>
      </c>
      <c r="C122" s="115"/>
      <c r="D122" s="133" t="s">
        <v>69</v>
      </c>
      <c r="E122" s="134"/>
      <c r="F122" s="115"/>
      <c r="G122" s="130"/>
      <c r="H122" s="115"/>
      <c r="I122" s="135"/>
      <c r="J122" s="339"/>
    </row>
    <row r="123" spans="8:8" ht="15.0">
      <c r="A123" s="115">
        <v>120.0</v>
      </c>
      <c r="B123" s="338">
        <v>799.0</v>
      </c>
      <c r="C123" s="115"/>
      <c r="D123" s="115" t="s">
        <v>56</v>
      </c>
      <c r="E123" s="136"/>
      <c r="F123" s="115"/>
      <c r="G123" s="130"/>
      <c r="H123" s="115"/>
      <c r="I123" s="135"/>
      <c r="J123" s="132"/>
    </row>
    <row r="124" spans="8:8" ht="15.0">
      <c r="A124" s="115">
        <v>121.0</v>
      </c>
      <c r="B124" s="338">
        <v>799.0</v>
      </c>
      <c r="C124" s="115"/>
      <c r="D124" s="133" t="s">
        <v>10</v>
      </c>
      <c r="E124" s="134"/>
      <c r="F124" s="115"/>
      <c r="G124" s="130"/>
      <c r="H124" s="115"/>
      <c r="I124" s="135"/>
      <c r="J124" s="339"/>
    </row>
    <row r="125" spans="8:8" ht="15.0">
      <c r="A125" s="115">
        <v>122.0</v>
      </c>
      <c r="B125" s="338">
        <v>799.0</v>
      </c>
      <c r="C125" s="115"/>
      <c r="D125" s="115" t="s">
        <v>2</v>
      </c>
      <c r="E125" s="136"/>
      <c r="F125" s="115"/>
      <c r="G125" s="130"/>
      <c r="H125" s="115"/>
      <c r="I125" s="135"/>
      <c r="J125" s="132"/>
    </row>
    <row r="126" spans="8:8" ht="15.0">
      <c r="A126" s="115">
        <v>123.0</v>
      </c>
      <c r="B126" s="338">
        <v>799.0</v>
      </c>
      <c r="C126" s="115"/>
      <c r="D126" s="133" t="s">
        <v>69</v>
      </c>
      <c r="E126" s="134"/>
      <c r="F126" s="115"/>
      <c r="G126" s="130"/>
      <c r="H126" s="115"/>
      <c r="I126" s="135"/>
      <c r="J126" s="339"/>
    </row>
    <row r="127" spans="8:8" ht="15.0">
      <c r="A127" s="115">
        <v>124.0</v>
      </c>
      <c r="B127" s="338">
        <v>799.0</v>
      </c>
      <c r="C127" s="115"/>
      <c r="D127" s="115" t="s">
        <v>2</v>
      </c>
      <c r="E127" s="136"/>
      <c r="F127" s="115"/>
      <c r="G127" s="130"/>
      <c r="H127" s="115"/>
      <c r="I127" s="135"/>
      <c r="J127" s="132"/>
    </row>
    <row r="128" spans="8:8" ht="15.0">
      <c r="A128" s="115">
        <v>125.0</v>
      </c>
      <c r="B128" s="338">
        <v>799.0</v>
      </c>
      <c r="C128" s="115"/>
      <c r="D128" s="133" t="s">
        <v>69</v>
      </c>
      <c r="E128" s="134"/>
      <c r="F128" s="115"/>
      <c r="G128" s="130"/>
      <c r="H128" s="115"/>
      <c r="I128" s="135"/>
      <c r="J128" s="339"/>
    </row>
    <row r="129" spans="8:8" ht="15.0">
      <c r="A129" s="115">
        <v>126.0</v>
      </c>
      <c r="B129" s="338">
        <v>799.0</v>
      </c>
      <c r="C129" s="115"/>
      <c r="D129" s="115" t="s">
        <v>56</v>
      </c>
      <c r="E129" s="136"/>
      <c r="F129" s="115"/>
      <c r="G129" s="130"/>
      <c r="H129" s="115"/>
      <c r="I129" s="135"/>
      <c r="J129" s="132"/>
    </row>
    <row r="130" spans="8:8" ht="15.0">
      <c r="A130" s="115">
        <v>127.0</v>
      </c>
      <c r="B130" s="338">
        <v>799.0</v>
      </c>
      <c r="C130" s="115"/>
      <c r="D130" s="133" t="s">
        <v>10</v>
      </c>
      <c r="E130" s="340"/>
      <c r="F130" s="115"/>
      <c r="G130" s="130"/>
      <c r="H130" s="115"/>
      <c r="I130" s="135"/>
      <c r="J130" s="339"/>
    </row>
    <row r="131" spans="8:8" ht="15.0">
      <c r="A131" s="115">
        <v>128.0</v>
      </c>
      <c r="B131" s="338">
        <v>799.0</v>
      </c>
      <c r="C131" s="115"/>
      <c r="D131" s="115" t="s">
        <v>2</v>
      </c>
      <c r="E131" s="340"/>
      <c r="F131" s="115"/>
      <c r="G131" s="130"/>
      <c r="H131" s="115"/>
      <c r="I131" s="135"/>
      <c r="J131" s="132"/>
    </row>
  </sheetData>
  <mergeCells count="9">
    <mergeCell ref="A1:H1"/>
    <mergeCell ref="I1:J1"/>
    <mergeCell ref="D2:F2"/>
    <mergeCell ref="A2:A3"/>
    <mergeCell ref="B2:B3"/>
    <mergeCell ref="C2:C3"/>
    <mergeCell ref="G2:G3"/>
    <mergeCell ref="H2:H3"/>
    <mergeCell ref="I2:J3"/>
  </mergeCells>
  <pageMargins left="0.786805555555556" right="0.196527777777778" top="0.393055555555556" bottom="0.393055555555556" header="0.5" footer="0.10625"/>
  <pageSetup paperSize="9" scale="58"/>
  <headerFooter>
    <oddFooter>&amp;CPage &amp;P of &amp;N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4" sqref="A4"/>
    </sheetView>
  </sheetViews>
  <sheetFormatPr defaultRowHeight="16.25" defaultColWidth="10"/>
  <sheetData/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OCC MB2</dc:creator>
  <cp:lastModifiedBy>OCC</cp:lastModifiedBy>
  <dcterms:created xsi:type="dcterms:W3CDTF">2021-10-20T16:23:00Z</dcterms:created>
  <dcterms:modified xsi:type="dcterms:W3CDTF">2025-09-15T09:25:41Z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523ce9c8e2104f6eb40a38809ebde0b8</vt:lpwstr>
  </property>
  <property fmtid="{D5CDD505-2E9C-101B-9397-08002B2CF9AE}" pid="3" name="KSOProductBuildVer">
    <vt:lpwstr>1033-12.2.0.20326</vt:lpwstr>
  </property>
</Properties>
</file>